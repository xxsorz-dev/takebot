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D0535DE7-C648-45F0-95A0-6CE980BC4468}" xr6:coauthVersionLast="47" xr6:coauthVersionMax="47" xr10:uidLastSave="{00000000-0000-0000-0000-000000000000}"/>
  <bookViews>
    <workbookView xWindow="2820" yWindow="2655" windowWidth="17805" windowHeight="1072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Sheet1!$E$1:$E$45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5" i="2" l="1"/>
  <c r="J195" i="2"/>
  <c r="K195" i="2" s="1"/>
  <c r="I196" i="2"/>
  <c r="J196" i="2"/>
  <c r="K196" i="2" s="1"/>
  <c r="I197" i="2"/>
  <c r="J197" i="2"/>
  <c r="K197" i="2" s="1"/>
  <c r="I64" i="2"/>
  <c r="J64" i="2"/>
  <c r="K64" i="2" s="1"/>
  <c r="I65" i="2"/>
  <c r="J65" i="2"/>
  <c r="K65" i="2" s="1"/>
  <c r="I66" i="2"/>
  <c r="J66" i="2"/>
  <c r="K66" i="2" s="1"/>
  <c r="I67" i="2"/>
  <c r="J67" i="2"/>
  <c r="K67" i="2"/>
  <c r="I68" i="2"/>
  <c r="J68" i="2"/>
  <c r="K68" i="2" s="1"/>
  <c r="I69" i="2"/>
  <c r="J69" i="2"/>
  <c r="K69" i="2" s="1"/>
  <c r="I70" i="2"/>
  <c r="J70" i="2"/>
  <c r="K70" i="2" s="1"/>
  <c r="I71" i="2"/>
  <c r="J71" i="2"/>
  <c r="K71" i="2" s="1"/>
  <c r="I72" i="2"/>
  <c r="J72" i="2"/>
  <c r="K72" i="2" s="1"/>
  <c r="I73" i="2"/>
  <c r="J73" i="2"/>
  <c r="K73" i="2" s="1"/>
  <c r="I74" i="2"/>
  <c r="J74" i="2"/>
  <c r="K74" i="2" s="1"/>
  <c r="I75" i="2"/>
  <c r="J75" i="2"/>
  <c r="K75" i="2"/>
  <c r="I76" i="2"/>
  <c r="J76" i="2"/>
  <c r="K76" i="2" s="1"/>
  <c r="I77" i="2"/>
  <c r="J77" i="2"/>
  <c r="K77" i="2" s="1"/>
  <c r="I78" i="2"/>
  <c r="J78" i="2"/>
  <c r="K78" i="2" s="1"/>
  <c r="I79" i="2"/>
  <c r="J79" i="2"/>
  <c r="K79" i="2" s="1"/>
  <c r="I80" i="2"/>
  <c r="J80" i="2"/>
  <c r="K80" i="2" s="1"/>
  <c r="I81" i="2"/>
  <c r="J81" i="2"/>
  <c r="K81" i="2" s="1"/>
  <c r="I82" i="2"/>
  <c r="J82" i="2"/>
  <c r="K82" i="2" s="1"/>
  <c r="I83" i="2"/>
  <c r="J83" i="2"/>
  <c r="K83" i="2" s="1"/>
  <c r="I84" i="2"/>
  <c r="J84" i="2"/>
  <c r="K84" i="2" s="1"/>
  <c r="I85" i="2"/>
  <c r="J85" i="2"/>
  <c r="K85" i="2" s="1"/>
  <c r="I86" i="2"/>
  <c r="J86" i="2"/>
  <c r="K86" i="2" s="1"/>
  <c r="I87" i="2"/>
  <c r="J87" i="2"/>
  <c r="K87" i="2" s="1"/>
  <c r="I88" i="2"/>
  <c r="J88" i="2"/>
  <c r="K88" i="2" s="1"/>
  <c r="I89" i="2"/>
  <c r="J89" i="2"/>
  <c r="K89" i="2" s="1"/>
  <c r="I90" i="2"/>
  <c r="J90" i="2"/>
  <c r="K90" i="2" s="1"/>
  <c r="I91" i="2"/>
  <c r="J91" i="2"/>
  <c r="K91" i="2"/>
  <c r="I92" i="2"/>
  <c r="J92" i="2"/>
  <c r="K92" i="2" s="1"/>
  <c r="I93" i="2"/>
  <c r="J93" i="2"/>
  <c r="K93" i="2" s="1"/>
  <c r="I94" i="2"/>
  <c r="J94" i="2"/>
  <c r="K94" i="2" s="1"/>
  <c r="I95" i="2"/>
  <c r="J95" i="2"/>
  <c r="K95" i="2" s="1"/>
  <c r="I96" i="2"/>
  <c r="J96" i="2"/>
  <c r="K96" i="2" s="1"/>
  <c r="I97" i="2"/>
  <c r="J97" i="2"/>
  <c r="K97" i="2" s="1"/>
  <c r="I98" i="2"/>
  <c r="J98" i="2"/>
  <c r="K98" i="2" s="1"/>
  <c r="I99" i="2"/>
  <c r="J99" i="2"/>
  <c r="K99" i="2" s="1"/>
  <c r="I100" i="2"/>
  <c r="J100" i="2"/>
  <c r="K100" i="2" s="1"/>
  <c r="I101" i="2"/>
  <c r="J101" i="2"/>
  <c r="K101" i="2" s="1"/>
  <c r="I102" i="2"/>
  <c r="J102" i="2"/>
  <c r="K102" i="2" s="1"/>
  <c r="I103" i="2"/>
  <c r="J103" i="2"/>
  <c r="K103" i="2" s="1"/>
  <c r="I104" i="2"/>
  <c r="J104" i="2"/>
  <c r="K104" i="2" s="1"/>
  <c r="I105" i="2"/>
  <c r="J105" i="2"/>
  <c r="K105" i="2" s="1"/>
  <c r="I106" i="2"/>
  <c r="J106" i="2"/>
  <c r="K106" i="2" s="1"/>
  <c r="I107" i="2"/>
  <c r="J107" i="2"/>
  <c r="K107" i="2" s="1"/>
  <c r="I108" i="2"/>
  <c r="J108" i="2"/>
  <c r="K108" i="2" s="1"/>
  <c r="I109" i="2"/>
  <c r="J109" i="2"/>
  <c r="K109" i="2" s="1"/>
  <c r="I110" i="2"/>
  <c r="J110" i="2"/>
  <c r="K110" i="2"/>
  <c r="I111" i="2"/>
  <c r="J111" i="2"/>
  <c r="K111" i="2" s="1"/>
  <c r="I112" i="2"/>
  <c r="J112" i="2"/>
  <c r="K112" i="2"/>
  <c r="I113" i="2"/>
  <c r="J113" i="2"/>
  <c r="K113" i="2" s="1"/>
  <c r="I114" i="2"/>
  <c r="J114" i="2"/>
  <c r="K114" i="2" s="1"/>
  <c r="I115" i="2"/>
  <c r="J115" i="2"/>
  <c r="K115" i="2" s="1"/>
  <c r="I116" i="2"/>
  <c r="J116" i="2"/>
  <c r="K116" i="2" s="1"/>
  <c r="I117" i="2"/>
  <c r="J117" i="2"/>
  <c r="K117" i="2" s="1"/>
  <c r="I118" i="2"/>
  <c r="J118" i="2"/>
  <c r="K118" i="2"/>
  <c r="I119" i="2"/>
  <c r="J119" i="2"/>
  <c r="K119" i="2" s="1"/>
  <c r="I120" i="2"/>
  <c r="J120" i="2"/>
  <c r="K120" i="2" s="1"/>
  <c r="I121" i="2"/>
  <c r="J121" i="2"/>
  <c r="K121" i="2" s="1"/>
  <c r="I122" i="2"/>
  <c r="J122" i="2"/>
  <c r="K122" i="2" s="1"/>
  <c r="I123" i="2"/>
  <c r="J123" i="2"/>
  <c r="K123" i="2" s="1"/>
  <c r="I124" i="2"/>
  <c r="J124" i="2"/>
  <c r="K124" i="2" s="1"/>
  <c r="I125" i="2"/>
  <c r="J125" i="2"/>
  <c r="K125" i="2" s="1"/>
  <c r="I126" i="2"/>
  <c r="J126" i="2"/>
  <c r="K126" i="2" s="1"/>
  <c r="I127" i="2"/>
  <c r="J127" i="2"/>
  <c r="K127" i="2" s="1"/>
  <c r="I128" i="2"/>
  <c r="J128" i="2"/>
  <c r="K128" i="2" s="1"/>
  <c r="I129" i="2"/>
  <c r="J129" i="2"/>
  <c r="K129" i="2" s="1"/>
  <c r="I130" i="2"/>
  <c r="J130" i="2"/>
  <c r="K130" i="2" s="1"/>
  <c r="I131" i="2"/>
  <c r="J131" i="2"/>
  <c r="K131" i="2" s="1"/>
  <c r="I132" i="2"/>
  <c r="J132" i="2"/>
  <c r="K132" i="2" s="1"/>
  <c r="I133" i="2"/>
  <c r="J133" i="2"/>
  <c r="K133" i="2" s="1"/>
  <c r="I134" i="2"/>
  <c r="J134" i="2"/>
  <c r="K134" i="2"/>
  <c r="I135" i="2"/>
  <c r="J135" i="2"/>
  <c r="K135" i="2" s="1"/>
  <c r="I136" i="2"/>
  <c r="J136" i="2"/>
  <c r="K136" i="2"/>
  <c r="I137" i="2"/>
  <c r="J137" i="2"/>
  <c r="K137" i="2" s="1"/>
  <c r="I138" i="2"/>
  <c r="J138" i="2"/>
  <c r="K138" i="2" s="1"/>
  <c r="I139" i="2"/>
  <c r="J139" i="2"/>
  <c r="K139" i="2" s="1"/>
  <c r="I140" i="2"/>
  <c r="J140" i="2"/>
  <c r="K140" i="2" s="1"/>
  <c r="I141" i="2"/>
  <c r="J141" i="2"/>
  <c r="K141" i="2" s="1"/>
  <c r="I142" i="2"/>
  <c r="J142" i="2"/>
  <c r="K142" i="2"/>
  <c r="I143" i="2"/>
  <c r="J143" i="2"/>
  <c r="K143" i="2" s="1"/>
  <c r="I144" i="2"/>
  <c r="J144" i="2"/>
  <c r="K144" i="2" s="1"/>
  <c r="I145" i="2"/>
  <c r="J145" i="2"/>
  <c r="K145" i="2" s="1"/>
  <c r="I146" i="2"/>
  <c r="J146" i="2"/>
  <c r="K146" i="2"/>
  <c r="I147" i="2"/>
  <c r="J147" i="2"/>
  <c r="K147" i="2" s="1"/>
  <c r="I148" i="2"/>
  <c r="J148" i="2"/>
  <c r="K148" i="2" s="1"/>
  <c r="I149" i="2"/>
  <c r="J149" i="2"/>
  <c r="K149" i="2" s="1"/>
  <c r="I150" i="2"/>
  <c r="J150" i="2"/>
  <c r="K150" i="2" s="1"/>
  <c r="I151" i="2"/>
  <c r="H151" i="2" s="1"/>
  <c r="C151" i="2" s="1"/>
  <c r="G151" i="2" s="1"/>
  <c r="J151" i="2"/>
  <c r="K151" i="2" s="1"/>
  <c r="I152" i="2"/>
  <c r="J152" i="2"/>
  <c r="K152" i="2" s="1"/>
  <c r="H152" i="2" s="1"/>
  <c r="C152" i="2" s="1"/>
  <c r="G152" i="2" s="1"/>
  <c r="I153" i="2"/>
  <c r="H153" i="2" s="1"/>
  <c r="C153" i="2" s="1"/>
  <c r="G153" i="2" s="1"/>
  <c r="J153" i="2"/>
  <c r="K153" i="2" s="1"/>
  <c r="I154" i="2"/>
  <c r="J154" i="2"/>
  <c r="K154" i="2" s="1"/>
  <c r="H155" i="2"/>
  <c r="C155" i="2" s="1"/>
  <c r="G155" i="2" s="1"/>
  <c r="I155" i="2"/>
  <c r="J155" i="2"/>
  <c r="K155" i="2" s="1"/>
  <c r="I156" i="2"/>
  <c r="J156" i="2"/>
  <c r="K156" i="2" s="1"/>
  <c r="I157" i="2"/>
  <c r="J157" i="2"/>
  <c r="K157" i="2" s="1"/>
  <c r="I158" i="2"/>
  <c r="J158" i="2"/>
  <c r="K158" i="2" s="1"/>
  <c r="H158" i="2" s="1"/>
  <c r="C158" i="2" s="1"/>
  <c r="G158" i="2" s="1"/>
  <c r="I159" i="2"/>
  <c r="J159" i="2"/>
  <c r="K159" i="2" s="1"/>
  <c r="I160" i="2"/>
  <c r="J160" i="2"/>
  <c r="K160" i="2" s="1"/>
  <c r="I161" i="2"/>
  <c r="J161" i="2"/>
  <c r="K161" i="2" s="1"/>
  <c r="I162" i="2"/>
  <c r="J162" i="2"/>
  <c r="K162" i="2" s="1"/>
  <c r="I163" i="2"/>
  <c r="J163" i="2"/>
  <c r="K163" i="2" s="1"/>
  <c r="I164" i="2"/>
  <c r="J164" i="2"/>
  <c r="K164" i="2" s="1"/>
  <c r="H164" i="2" s="1"/>
  <c r="C164" i="2" s="1"/>
  <c r="G164" i="2" s="1"/>
  <c r="H165" i="2"/>
  <c r="C165" i="2" s="1"/>
  <c r="G165" i="2" s="1"/>
  <c r="I165" i="2"/>
  <c r="J165" i="2"/>
  <c r="K165" i="2" s="1"/>
  <c r="I166" i="2"/>
  <c r="J166" i="2"/>
  <c r="K166" i="2" s="1"/>
  <c r="I167" i="2"/>
  <c r="H167" i="2" s="1"/>
  <c r="C167" i="2" s="1"/>
  <c r="G167" i="2" s="1"/>
  <c r="J167" i="2"/>
  <c r="K167" i="2" s="1"/>
  <c r="I168" i="2"/>
  <c r="J168" i="2"/>
  <c r="K168" i="2" s="1"/>
  <c r="H168" i="2" s="1"/>
  <c r="C168" i="2" s="1"/>
  <c r="G168" i="2" s="1"/>
  <c r="I169" i="2"/>
  <c r="J169" i="2"/>
  <c r="K169" i="2" s="1"/>
  <c r="I170" i="2"/>
  <c r="J170" i="2"/>
  <c r="K170" i="2" s="1"/>
  <c r="I171" i="2"/>
  <c r="J171" i="2"/>
  <c r="K171" i="2" s="1"/>
  <c r="I172" i="2"/>
  <c r="J172" i="2"/>
  <c r="K172" i="2" s="1"/>
  <c r="I173" i="2"/>
  <c r="H173" i="2" s="1"/>
  <c r="C173" i="2" s="1"/>
  <c r="G173" i="2" s="1"/>
  <c r="J173" i="2"/>
  <c r="K173" i="2" s="1"/>
  <c r="I174" i="2"/>
  <c r="J174" i="2"/>
  <c r="K174" i="2" s="1"/>
  <c r="I175" i="2"/>
  <c r="J175" i="2"/>
  <c r="K175" i="2" s="1"/>
  <c r="I176" i="2"/>
  <c r="J176" i="2"/>
  <c r="K176" i="2" s="1"/>
  <c r="I177" i="2"/>
  <c r="H177" i="2" s="1"/>
  <c r="C177" i="2" s="1"/>
  <c r="G177" i="2" s="1"/>
  <c r="J177" i="2"/>
  <c r="K177" i="2" s="1"/>
  <c r="I178" i="2"/>
  <c r="J178" i="2"/>
  <c r="K178" i="2" s="1"/>
  <c r="I179" i="2"/>
  <c r="H179" i="2" s="1"/>
  <c r="C179" i="2" s="1"/>
  <c r="G179" i="2" s="1"/>
  <c r="J179" i="2"/>
  <c r="K179" i="2" s="1"/>
  <c r="I180" i="2"/>
  <c r="J180" i="2"/>
  <c r="K180" i="2" s="1"/>
  <c r="I181" i="2"/>
  <c r="H181" i="2" s="1"/>
  <c r="C181" i="2" s="1"/>
  <c r="G181" i="2" s="1"/>
  <c r="J181" i="2"/>
  <c r="K181" i="2" s="1"/>
  <c r="I182" i="2"/>
  <c r="J182" i="2"/>
  <c r="K182" i="2" s="1"/>
  <c r="I183" i="2"/>
  <c r="J183" i="2"/>
  <c r="K183" i="2" s="1"/>
  <c r="I184" i="2"/>
  <c r="J184" i="2"/>
  <c r="K184" i="2" s="1"/>
  <c r="I185" i="2"/>
  <c r="J185" i="2"/>
  <c r="K185" i="2" s="1"/>
  <c r="I186" i="2"/>
  <c r="J186" i="2"/>
  <c r="K186" i="2" s="1"/>
  <c r="I187" i="2"/>
  <c r="H187" i="2" s="1"/>
  <c r="C187" i="2" s="1"/>
  <c r="G187" i="2" s="1"/>
  <c r="J187" i="2"/>
  <c r="K187" i="2" s="1"/>
  <c r="I188" i="2"/>
  <c r="J188" i="2"/>
  <c r="K188" i="2" s="1"/>
  <c r="I189" i="2"/>
  <c r="H189" i="2" s="1"/>
  <c r="C189" i="2" s="1"/>
  <c r="G189" i="2" s="1"/>
  <c r="J189" i="2"/>
  <c r="K189" i="2" s="1"/>
  <c r="I190" i="2"/>
  <c r="J190" i="2"/>
  <c r="K190" i="2" s="1"/>
  <c r="I191" i="2"/>
  <c r="J191" i="2"/>
  <c r="K191" i="2" s="1"/>
  <c r="I192" i="2"/>
  <c r="J192" i="2"/>
  <c r="K192" i="2" s="1"/>
  <c r="I193" i="2"/>
  <c r="J193" i="2"/>
  <c r="K193" i="2" s="1"/>
  <c r="I194" i="2"/>
  <c r="H194" i="2" s="1"/>
  <c r="C194" i="2" s="1"/>
  <c r="G194" i="2" s="1"/>
  <c r="J194" i="2"/>
  <c r="K194" i="2" s="1"/>
  <c r="I55" i="2"/>
  <c r="J55" i="2"/>
  <c r="K55" i="2" s="1"/>
  <c r="I56" i="2"/>
  <c r="J56" i="2"/>
  <c r="K56" i="2" s="1"/>
  <c r="I57" i="2"/>
  <c r="J57" i="2"/>
  <c r="K57" i="2" s="1"/>
  <c r="I58" i="2"/>
  <c r="J58" i="2"/>
  <c r="K58" i="2" s="1"/>
  <c r="I59" i="2"/>
  <c r="J59" i="2"/>
  <c r="K59" i="2" s="1"/>
  <c r="I60" i="2"/>
  <c r="J60" i="2"/>
  <c r="K60" i="2" s="1"/>
  <c r="I61" i="2"/>
  <c r="J61" i="2"/>
  <c r="K61" i="2" s="1"/>
  <c r="I62" i="2"/>
  <c r="J62" i="2"/>
  <c r="K62" i="2" s="1"/>
  <c r="I63" i="2"/>
  <c r="J63" i="2"/>
  <c r="K63" i="2" s="1"/>
  <c r="I51" i="2"/>
  <c r="J51" i="2"/>
  <c r="K51" i="2" s="1"/>
  <c r="I52" i="2"/>
  <c r="J52" i="2"/>
  <c r="K52" i="2" s="1"/>
  <c r="I53" i="2"/>
  <c r="J53" i="2"/>
  <c r="K53" i="2" s="1"/>
  <c r="I54" i="2"/>
  <c r="J54" i="2"/>
  <c r="K54" i="2" s="1"/>
  <c r="I33" i="2"/>
  <c r="J33" i="2"/>
  <c r="K33" i="2" s="1"/>
  <c r="I34" i="2"/>
  <c r="J34" i="2"/>
  <c r="K34" i="2" s="1"/>
  <c r="I35" i="2"/>
  <c r="J35" i="2"/>
  <c r="K35" i="2" s="1"/>
  <c r="I36" i="2"/>
  <c r="J36" i="2"/>
  <c r="K36" i="2" s="1"/>
  <c r="I37" i="2"/>
  <c r="J37" i="2"/>
  <c r="K37" i="2" s="1"/>
  <c r="I38" i="2"/>
  <c r="J38" i="2"/>
  <c r="K38" i="2" s="1"/>
  <c r="I39" i="2"/>
  <c r="J39" i="2"/>
  <c r="K39" i="2" s="1"/>
  <c r="I40" i="2"/>
  <c r="J40" i="2"/>
  <c r="K40" i="2" s="1"/>
  <c r="I41" i="2"/>
  <c r="J41" i="2"/>
  <c r="K41" i="2" s="1"/>
  <c r="I42" i="2"/>
  <c r="J42" i="2"/>
  <c r="K42" i="2" s="1"/>
  <c r="I43" i="2"/>
  <c r="J43" i="2"/>
  <c r="K43" i="2" s="1"/>
  <c r="I44" i="2"/>
  <c r="J44" i="2"/>
  <c r="K44" i="2" s="1"/>
  <c r="I45" i="2"/>
  <c r="J45" i="2"/>
  <c r="K45" i="2" s="1"/>
  <c r="I46" i="2"/>
  <c r="J46" i="2"/>
  <c r="K46" i="2" s="1"/>
  <c r="I47" i="2"/>
  <c r="J47" i="2"/>
  <c r="K47" i="2" s="1"/>
  <c r="I48" i="2"/>
  <c r="J48" i="2"/>
  <c r="K48" i="2" s="1"/>
  <c r="I49" i="2"/>
  <c r="J49" i="2"/>
  <c r="K49" i="2" s="1"/>
  <c r="I50" i="2"/>
  <c r="J50" i="2"/>
  <c r="K50" i="2" s="1"/>
  <c r="I3" i="2"/>
  <c r="J3" i="2"/>
  <c r="K3" i="2" s="1"/>
  <c r="I4" i="2"/>
  <c r="J4" i="2"/>
  <c r="K4" i="2" s="1"/>
  <c r="I5" i="2"/>
  <c r="J5" i="2"/>
  <c r="K5" i="2" s="1"/>
  <c r="I6" i="2"/>
  <c r="J6" i="2"/>
  <c r="K6" i="2" s="1"/>
  <c r="I7" i="2"/>
  <c r="J7" i="2"/>
  <c r="K7" i="2" s="1"/>
  <c r="I8" i="2"/>
  <c r="J8" i="2"/>
  <c r="K8" i="2" s="1"/>
  <c r="I9" i="2"/>
  <c r="J9" i="2"/>
  <c r="K9" i="2" s="1"/>
  <c r="I10" i="2"/>
  <c r="J10" i="2"/>
  <c r="K10" i="2" s="1"/>
  <c r="I11" i="2"/>
  <c r="J11" i="2"/>
  <c r="K11" i="2" s="1"/>
  <c r="I12" i="2"/>
  <c r="J12" i="2"/>
  <c r="K12" i="2" s="1"/>
  <c r="I13" i="2"/>
  <c r="J13" i="2"/>
  <c r="K13" i="2" s="1"/>
  <c r="I14" i="2"/>
  <c r="J14" i="2"/>
  <c r="K14" i="2" s="1"/>
  <c r="I15" i="2"/>
  <c r="J15" i="2"/>
  <c r="K15" i="2" s="1"/>
  <c r="I16" i="2"/>
  <c r="J16" i="2"/>
  <c r="K16" i="2" s="1"/>
  <c r="I17" i="2"/>
  <c r="J17" i="2"/>
  <c r="K17" i="2" s="1"/>
  <c r="I18" i="2"/>
  <c r="J18" i="2"/>
  <c r="K18" i="2" s="1"/>
  <c r="I19" i="2"/>
  <c r="J19" i="2"/>
  <c r="K19" i="2" s="1"/>
  <c r="I20" i="2"/>
  <c r="J20" i="2"/>
  <c r="K20" i="2" s="1"/>
  <c r="I21" i="2"/>
  <c r="J21" i="2"/>
  <c r="K21" i="2" s="1"/>
  <c r="I22" i="2"/>
  <c r="J22" i="2"/>
  <c r="K22" i="2" s="1"/>
  <c r="I23" i="2"/>
  <c r="J23" i="2"/>
  <c r="K23" i="2" s="1"/>
  <c r="I24" i="2"/>
  <c r="J24" i="2"/>
  <c r="K24" i="2" s="1"/>
  <c r="I25" i="2"/>
  <c r="J25" i="2"/>
  <c r="K25" i="2" s="1"/>
  <c r="I26" i="2"/>
  <c r="J26" i="2"/>
  <c r="K26" i="2" s="1"/>
  <c r="I27" i="2"/>
  <c r="J27" i="2"/>
  <c r="K27" i="2" s="1"/>
  <c r="I28" i="2"/>
  <c r="J28" i="2"/>
  <c r="K28" i="2" s="1"/>
  <c r="I29" i="2"/>
  <c r="J29" i="2"/>
  <c r="K29" i="2" s="1"/>
  <c r="I30" i="2"/>
  <c r="J30" i="2"/>
  <c r="K30" i="2" s="1"/>
  <c r="I31" i="2"/>
  <c r="J31" i="2"/>
  <c r="K31" i="2" s="1"/>
  <c r="I32" i="2"/>
  <c r="J32" i="2"/>
  <c r="K32" i="2" s="1"/>
  <c r="J2" i="2"/>
  <c r="K2" i="2" s="1"/>
  <c r="I2" i="2"/>
  <c r="H192" i="2" l="1"/>
  <c r="C192" i="2" s="1"/>
  <c r="G192" i="2" s="1"/>
  <c r="H175" i="2"/>
  <c r="C175" i="2" s="1"/>
  <c r="G175" i="2" s="1"/>
  <c r="H169" i="2"/>
  <c r="C169" i="2" s="1"/>
  <c r="G169" i="2" s="1"/>
  <c r="H161" i="2"/>
  <c r="C161" i="2" s="1"/>
  <c r="G161" i="2" s="1"/>
  <c r="H185" i="2"/>
  <c r="C185" i="2" s="1"/>
  <c r="G185" i="2" s="1"/>
  <c r="H163" i="2"/>
  <c r="C163" i="2" s="1"/>
  <c r="G163" i="2" s="1"/>
  <c r="H157" i="2"/>
  <c r="C157" i="2" s="1"/>
  <c r="G157" i="2" s="1"/>
  <c r="H149" i="2"/>
  <c r="C149" i="2" s="1"/>
  <c r="G149" i="2" s="1"/>
  <c r="H176" i="2"/>
  <c r="C176" i="2" s="1"/>
  <c r="G176" i="2" s="1"/>
  <c r="H170" i="2"/>
  <c r="C170" i="2" s="1"/>
  <c r="G170" i="2" s="1"/>
  <c r="H156" i="2"/>
  <c r="C156" i="2" s="1"/>
  <c r="G156" i="2" s="1"/>
  <c r="H171" i="2"/>
  <c r="C171" i="2" s="1"/>
  <c r="G171" i="2" s="1"/>
  <c r="H172" i="2"/>
  <c r="C172" i="2" s="1"/>
  <c r="G172" i="2" s="1"/>
  <c r="H160" i="2"/>
  <c r="C160" i="2" s="1"/>
  <c r="G160" i="2" s="1"/>
  <c r="H148" i="2"/>
  <c r="C148" i="2" s="1"/>
  <c r="G148" i="2" s="1"/>
  <c r="H196" i="2"/>
  <c r="C196" i="2" s="1"/>
  <c r="G196" i="2" s="1"/>
  <c r="H183" i="2"/>
  <c r="C183" i="2" s="1"/>
  <c r="G183" i="2" s="1"/>
  <c r="H159" i="2"/>
  <c r="C159" i="2" s="1"/>
  <c r="G159" i="2" s="1"/>
  <c r="H174" i="2"/>
  <c r="C174" i="2" s="1"/>
  <c r="G174" i="2" s="1"/>
  <c r="H162" i="2"/>
  <c r="C162" i="2" s="1"/>
  <c r="G162" i="2" s="1"/>
  <c r="H150" i="2"/>
  <c r="C150" i="2" s="1"/>
  <c r="G150" i="2" s="1"/>
  <c r="H178" i="2"/>
  <c r="C178" i="2" s="1"/>
  <c r="G178" i="2" s="1"/>
  <c r="H166" i="2"/>
  <c r="C166" i="2" s="1"/>
  <c r="G166" i="2" s="1"/>
  <c r="H154" i="2"/>
  <c r="C154" i="2" s="1"/>
  <c r="G154" i="2" s="1"/>
  <c r="H197" i="2"/>
  <c r="C197" i="2" s="1"/>
  <c r="G197" i="2" s="1"/>
  <c r="H195" i="2"/>
  <c r="C195" i="2" s="1"/>
  <c r="G195" i="2" s="1"/>
  <c r="H193" i="2"/>
  <c r="C193" i="2" s="1"/>
  <c r="G193" i="2" s="1"/>
  <c r="H191" i="2"/>
  <c r="C191" i="2" s="1"/>
  <c r="G191" i="2" s="1"/>
  <c r="H190" i="2"/>
  <c r="C190" i="2" s="1"/>
  <c r="G190" i="2" s="1"/>
  <c r="H188" i="2"/>
  <c r="C188" i="2" s="1"/>
  <c r="G188" i="2" s="1"/>
  <c r="H186" i="2"/>
  <c r="C186" i="2" s="1"/>
  <c r="G186" i="2" s="1"/>
  <c r="H184" i="2"/>
  <c r="C184" i="2" s="1"/>
  <c r="G184" i="2" s="1"/>
  <c r="H182" i="2"/>
  <c r="C182" i="2" s="1"/>
  <c r="G182" i="2" s="1"/>
  <c r="H180" i="2"/>
  <c r="C180" i="2" s="1"/>
  <c r="G180" i="2" s="1"/>
  <c r="H120" i="2"/>
  <c r="C120" i="2" s="1"/>
  <c r="G120" i="2" s="1"/>
  <c r="H114" i="2"/>
  <c r="C114" i="2" s="1"/>
  <c r="G114" i="2" s="1"/>
  <c r="H105" i="2"/>
  <c r="C105" i="2" s="1"/>
  <c r="G105" i="2" s="1"/>
  <c r="H99" i="2"/>
  <c r="C99" i="2" s="1"/>
  <c r="G99" i="2" s="1"/>
  <c r="H91" i="2"/>
  <c r="C91" i="2" s="1"/>
  <c r="G91" i="2" s="1"/>
  <c r="H81" i="2"/>
  <c r="C81" i="2" s="1"/>
  <c r="G81" i="2" s="1"/>
  <c r="H69" i="2"/>
  <c r="C69" i="2" s="1"/>
  <c r="G69" i="2" s="1"/>
  <c r="H122" i="2"/>
  <c r="C122" i="2" s="1"/>
  <c r="G122" i="2" s="1"/>
  <c r="H118" i="2"/>
  <c r="C118" i="2" s="1"/>
  <c r="G118" i="2" s="1"/>
  <c r="H112" i="2"/>
  <c r="C112" i="2" s="1"/>
  <c r="G112" i="2" s="1"/>
  <c r="H107" i="2"/>
  <c r="C107" i="2" s="1"/>
  <c r="G107" i="2" s="1"/>
  <c r="H101" i="2"/>
  <c r="C101" i="2" s="1"/>
  <c r="G101" i="2" s="1"/>
  <c r="H95" i="2"/>
  <c r="C95" i="2" s="1"/>
  <c r="G95" i="2" s="1"/>
  <c r="H87" i="2"/>
  <c r="C87" i="2" s="1"/>
  <c r="G87" i="2" s="1"/>
  <c r="H65" i="2"/>
  <c r="C65" i="2" s="1"/>
  <c r="G65" i="2" s="1"/>
  <c r="H146" i="2"/>
  <c r="C146" i="2" s="1"/>
  <c r="G146" i="2" s="1"/>
  <c r="H144" i="2"/>
  <c r="C144" i="2" s="1"/>
  <c r="G144" i="2" s="1"/>
  <c r="H142" i="2"/>
  <c r="C142" i="2" s="1"/>
  <c r="G142" i="2" s="1"/>
  <c r="H140" i="2"/>
  <c r="C140" i="2" s="1"/>
  <c r="G140" i="2" s="1"/>
  <c r="H138" i="2"/>
  <c r="C138" i="2" s="1"/>
  <c r="G138" i="2" s="1"/>
  <c r="H136" i="2"/>
  <c r="C136" i="2" s="1"/>
  <c r="G136" i="2" s="1"/>
  <c r="H134" i="2"/>
  <c r="C134" i="2" s="1"/>
  <c r="G134" i="2" s="1"/>
  <c r="H132" i="2"/>
  <c r="C132" i="2" s="1"/>
  <c r="G132" i="2" s="1"/>
  <c r="H130" i="2"/>
  <c r="C130" i="2" s="1"/>
  <c r="G130" i="2" s="1"/>
  <c r="H128" i="2"/>
  <c r="C128" i="2" s="1"/>
  <c r="G128" i="2" s="1"/>
  <c r="H126" i="2"/>
  <c r="C126" i="2" s="1"/>
  <c r="G126" i="2" s="1"/>
  <c r="H124" i="2"/>
  <c r="C124" i="2" s="1"/>
  <c r="G124" i="2" s="1"/>
  <c r="H116" i="2"/>
  <c r="C116" i="2" s="1"/>
  <c r="G116" i="2" s="1"/>
  <c r="H110" i="2"/>
  <c r="C110" i="2" s="1"/>
  <c r="G110" i="2" s="1"/>
  <c r="H108" i="2"/>
  <c r="C108" i="2" s="1"/>
  <c r="G108" i="2" s="1"/>
  <c r="H103" i="2"/>
  <c r="C103" i="2" s="1"/>
  <c r="G103" i="2" s="1"/>
  <c r="H97" i="2"/>
  <c r="C97" i="2" s="1"/>
  <c r="G97" i="2" s="1"/>
  <c r="H93" i="2"/>
  <c r="C93" i="2" s="1"/>
  <c r="G93" i="2" s="1"/>
  <c r="H89" i="2"/>
  <c r="C89" i="2" s="1"/>
  <c r="G89" i="2" s="1"/>
  <c r="H85" i="2"/>
  <c r="C85" i="2" s="1"/>
  <c r="G85" i="2" s="1"/>
  <c r="H83" i="2"/>
  <c r="C83" i="2" s="1"/>
  <c r="G83" i="2" s="1"/>
  <c r="H79" i="2"/>
  <c r="C79" i="2" s="1"/>
  <c r="G79" i="2" s="1"/>
  <c r="H77" i="2"/>
  <c r="C77" i="2" s="1"/>
  <c r="G77" i="2" s="1"/>
  <c r="H75" i="2"/>
  <c r="C75" i="2" s="1"/>
  <c r="G75" i="2" s="1"/>
  <c r="H73" i="2"/>
  <c r="C73" i="2" s="1"/>
  <c r="G73" i="2" s="1"/>
  <c r="H71" i="2"/>
  <c r="C71" i="2" s="1"/>
  <c r="G71" i="2" s="1"/>
  <c r="H67" i="2"/>
  <c r="C67" i="2" s="1"/>
  <c r="G67" i="2" s="1"/>
  <c r="H123" i="2"/>
  <c r="C123" i="2" s="1"/>
  <c r="G123" i="2" s="1"/>
  <c r="H121" i="2"/>
  <c r="C121" i="2" s="1"/>
  <c r="G121" i="2" s="1"/>
  <c r="H117" i="2"/>
  <c r="C117" i="2" s="1"/>
  <c r="G117" i="2" s="1"/>
  <c r="H115" i="2"/>
  <c r="C115" i="2" s="1"/>
  <c r="G115" i="2" s="1"/>
  <c r="H111" i="2"/>
  <c r="C111" i="2" s="1"/>
  <c r="G111" i="2" s="1"/>
  <c r="H104" i="2"/>
  <c r="C104" i="2" s="1"/>
  <c r="G104" i="2" s="1"/>
  <c r="H100" i="2"/>
  <c r="C100" i="2" s="1"/>
  <c r="G100" i="2" s="1"/>
  <c r="H96" i="2"/>
  <c r="C96" i="2" s="1"/>
  <c r="G96" i="2" s="1"/>
  <c r="H94" i="2"/>
  <c r="C94" i="2" s="1"/>
  <c r="G94" i="2" s="1"/>
  <c r="H90" i="2"/>
  <c r="C90" i="2" s="1"/>
  <c r="G90" i="2" s="1"/>
  <c r="H88" i="2"/>
  <c r="C88" i="2" s="1"/>
  <c r="G88" i="2" s="1"/>
  <c r="H86" i="2"/>
  <c r="C86" i="2" s="1"/>
  <c r="G86" i="2" s="1"/>
  <c r="H84" i="2"/>
  <c r="C84" i="2" s="1"/>
  <c r="G84" i="2" s="1"/>
  <c r="H82" i="2"/>
  <c r="C82" i="2" s="1"/>
  <c r="G82" i="2" s="1"/>
  <c r="H80" i="2"/>
  <c r="C80" i="2" s="1"/>
  <c r="G80" i="2" s="1"/>
  <c r="H78" i="2"/>
  <c r="C78" i="2" s="1"/>
  <c r="G78" i="2" s="1"/>
  <c r="H76" i="2"/>
  <c r="C76" i="2" s="1"/>
  <c r="G76" i="2" s="1"/>
  <c r="H74" i="2"/>
  <c r="C74" i="2" s="1"/>
  <c r="G74" i="2" s="1"/>
  <c r="H72" i="2"/>
  <c r="C72" i="2" s="1"/>
  <c r="G72" i="2" s="1"/>
  <c r="H70" i="2"/>
  <c r="C70" i="2" s="1"/>
  <c r="G70" i="2" s="1"/>
  <c r="H68" i="2"/>
  <c r="C68" i="2" s="1"/>
  <c r="G68" i="2" s="1"/>
  <c r="H64" i="2"/>
  <c r="C64" i="2" s="1"/>
  <c r="G64" i="2" s="1"/>
  <c r="H119" i="2"/>
  <c r="C119" i="2" s="1"/>
  <c r="G119" i="2" s="1"/>
  <c r="H113" i="2"/>
  <c r="C113" i="2" s="1"/>
  <c r="G113" i="2" s="1"/>
  <c r="H109" i="2"/>
  <c r="C109" i="2" s="1"/>
  <c r="G109" i="2" s="1"/>
  <c r="H106" i="2"/>
  <c r="C106" i="2" s="1"/>
  <c r="G106" i="2" s="1"/>
  <c r="H102" i="2"/>
  <c r="C102" i="2" s="1"/>
  <c r="G102" i="2" s="1"/>
  <c r="H98" i="2"/>
  <c r="C98" i="2" s="1"/>
  <c r="G98" i="2" s="1"/>
  <c r="H92" i="2"/>
  <c r="C92" i="2" s="1"/>
  <c r="G92" i="2" s="1"/>
  <c r="H66" i="2"/>
  <c r="C66" i="2" s="1"/>
  <c r="G66" i="2" s="1"/>
  <c r="H147" i="2"/>
  <c r="C147" i="2" s="1"/>
  <c r="G147" i="2" s="1"/>
  <c r="H145" i="2"/>
  <c r="C145" i="2" s="1"/>
  <c r="G145" i="2" s="1"/>
  <c r="H143" i="2"/>
  <c r="C143" i="2" s="1"/>
  <c r="G143" i="2" s="1"/>
  <c r="H141" i="2"/>
  <c r="C141" i="2" s="1"/>
  <c r="G141" i="2" s="1"/>
  <c r="H139" i="2"/>
  <c r="C139" i="2" s="1"/>
  <c r="G139" i="2" s="1"/>
  <c r="H137" i="2"/>
  <c r="C137" i="2" s="1"/>
  <c r="G137" i="2" s="1"/>
  <c r="H135" i="2"/>
  <c r="C135" i="2" s="1"/>
  <c r="G135" i="2" s="1"/>
  <c r="H133" i="2"/>
  <c r="C133" i="2" s="1"/>
  <c r="G133" i="2" s="1"/>
  <c r="H131" i="2"/>
  <c r="C131" i="2" s="1"/>
  <c r="G131" i="2" s="1"/>
  <c r="H129" i="2"/>
  <c r="C129" i="2" s="1"/>
  <c r="G129" i="2" s="1"/>
  <c r="H127" i="2"/>
  <c r="C127" i="2" s="1"/>
  <c r="G127" i="2" s="1"/>
  <c r="H125" i="2"/>
  <c r="C125" i="2" s="1"/>
  <c r="G125" i="2" s="1"/>
  <c r="H54" i="2"/>
  <c r="C54" i="2" s="1"/>
  <c r="G54" i="2" s="1"/>
  <c r="D54" i="1" s="1"/>
  <c r="H51" i="2"/>
  <c r="C51" i="2" s="1"/>
  <c r="G51" i="2" s="1"/>
  <c r="D51" i="1" s="1"/>
  <c r="H53" i="2"/>
  <c r="C53" i="2" s="1"/>
  <c r="G53" i="2" s="1"/>
  <c r="D53" i="1" s="1"/>
  <c r="H52" i="2"/>
  <c r="C52" i="2" s="1"/>
  <c r="G52" i="2" s="1"/>
  <c r="D52" i="1" s="1"/>
  <c r="H62" i="2"/>
  <c r="C62" i="2" s="1"/>
  <c r="G62" i="2" s="1"/>
  <c r="H60" i="2"/>
  <c r="C60" i="2" s="1"/>
  <c r="G60" i="2" s="1"/>
  <c r="H58" i="2"/>
  <c r="C58" i="2" s="1"/>
  <c r="G58" i="2" s="1"/>
  <c r="H56" i="2"/>
  <c r="C56" i="2" s="1"/>
  <c r="G56" i="2" s="1"/>
  <c r="D56" i="1" s="1"/>
  <c r="H32" i="2"/>
  <c r="C32" i="2" s="1"/>
  <c r="G32" i="2" s="1"/>
  <c r="H30" i="2"/>
  <c r="C30" i="2" s="1"/>
  <c r="G30" i="2" s="1"/>
  <c r="H28" i="2"/>
  <c r="C28" i="2" s="1"/>
  <c r="G28" i="2" s="1"/>
  <c r="H26" i="2"/>
  <c r="C26" i="2" s="1"/>
  <c r="G26" i="2" s="1"/>
  <c r="H24" i="2"/>
  <c r="C24" i="2" s="1"/>
  <c r="G24" i="2" s="1"/>
  <c r="H22" i="2"/>
  <c r="C22" i="2" s="1"/>
  <c r="G22" i="2" s="1"/>
  <c r="H20" i="2"/>
  <c r="C20" i="2" s="1"/>
  <c r="G20" i="2" s="1"/>
  <c r="H18" i="2"/>
  <c r="C18" i="2" s="1"/>
  <c r="G18" i="2" s="1"/>
  <c r="H16" i="2"/>
  <c r="C16" i="2" s="1"/>
  <c r="G16" i="2" s="1"/>
  <c r="H14" i="2"/>
  <c r="C14" i="2" s="1"/>
  <c r="G14" i="2" s="1"/>
  <c r="H12" i="2"/>
  <c r="C12" i="2" s="1"/>
  <c r="G12" i="2" s="1"/>
  <c r="H10" i="2"/>
  <c r="C10" i="2" s="1"/>
  <c r="G10" i="2" s="1"/>
  <c r="H8" i="2"/>
  <c r="C8" i="2" s="1"/>
  <c r="G8" i="2" s="1"/>
  <c r="H6" i="2"/>
  <c r="C6" i="2" s="1"/>
  <c r="G6" i="2" s="1"/>
  <c r="H4" i="2"/>
  <c r="C4" i="2" s="1"/>
  <c r="G4" i="2" s="1"/>
  <c r="H50" i="2"/>
  <c r="C50" i="2" s="1"/>
  <c r="G50" i="2" s="1"/>
  <c r="H48" i="2"/>
  <c r="C48" i="2" s="1"/>
  <c r="G48" i="2" s="1"/>
  <c r="H46" i="2"/>
  <c r="C46" i="2" s="1"/>
  <c r="G46" i="2" s="1"/>
  <c r="H44" i="2"/>
  <c r="C44" i="2" s="1"/>
  <c r="G44" i="2" s="1"/>
  <c r="H42" i="2"/>
  <c r="C42" i="2" s="1"/>
  <c r="G42" i="2" s="1"/>
  <c r="H40" i="2"/>
  <c r="C40" i="2" s="1"/>
  <c r="G40" i="2" s="1"/>
  <c r="H38" i="2"/>
  <c r="C38" i="2" s="1"/>
  <c r="G38" i="2" s="1"/>
  <c r="H36" i="2"/>
  <c r="C36" i="2" s="1"/>
  <c r="G36" i="2" s="1"/>
  <c r="H34" i="2"/>
  <c r="C34" i="2" s="1"/>
  <c r="G34" i="2" s="1"/>
  <c r="H31" i="2"/>
  <c r="C31" i="2" s="1"/>
  <c r="G31" i="2" s="1"/>
  <c r="H29" i="2"/>
  <c r="C29" i="2" s="1"/>
  <c r="G29" i="2" s="1"/>
  <c r="H27" i="2"/>
  <c r="C27" i="2" s="1"/>
  <c r="G27" i="2" s="1"/>
  <c r="H25" i="2"/>
  <c r="C25" i="2" s="1"/>
  <c r="G25" i="2" s="1"/>
  <c r="H23" i="2"/>
  <c r="C23" i="2" s="1"/>
  <c r="G23" i="2" s="1"/>
  <c r="H21" i="2"/>
  <c r="C21" i="2" s="1"/>
  <c r="G21" i="2" s="1"/>
  <c r="H19" i="2"/>
  <c r="C19" i="2" s="1"/>
  <c r="G19" i="2" s="1"/>
  <c r="H17" i="2"/>
  <c r="C17" i="2" s="1"/>
  <c r="G17" i="2" s="1"/>
  <c r="H15" i="2"/>
  <c r="C15" i="2" s="1"/>
  <c r="G15" i="2" s="1"/>
  <c r="H13" i="2"/>
  <c r="C13" i="2" s="1"/>
  <c r="G13" i="2" s="1"/>
  <c r="H11" i="2"/>
  <c r="C11" i="2" s="1"/>
  <c r="G11" i="2" s="1"/>
  <c r="H9" i="2"/>
  <c r="C9" i="2" s="1"/>
  <c r="G9" i="2" s="1"/>
  <c r="H7" i="2"/>
  <c r="C7" i="2" s="1"/>
  <c r="G7" i="2" s="1"/>
  <c r="H5" i="2"/>
  <c r="C5" i="2" s="1"/>
  <c r="G5" i="2" s="1"/>
  <c r="H3" i="2"/>
  <c r="C3" i="2" s="1"/>
  <c r="G3" i="2" s="1"/>
  <c r="H49" i="2"/>
  <c r="C49" i="2" s="1"/>
  <c r="G49" i="2" s="1"/>
  <c r="H47" i="2"/>
  <c r="C47" i="2" s="1"/>
  <c r="G47" i="2" s="1"/>
  <c r="H45" i="2"/>
  <c r="C45" i="2" s="1"/>
  <c r="G45" i="2" s="1"/>
  <c r="H43" i="2"/>
  <c r="C43" i="2" s="1"/>
  <c r="G43" i="2" s="1"/>
  <c r="H41" i="2"/>
  <c r="C41" i="2" s="1"/>
  <c r="G41" i="2" s="1"/>
  <c r="H39" i="2"/>
  <c r="C39" i="2" s="1"/>
  <c r="G39" i="2" s="1"/>
  <c r="H37" i="2"/>
  <c r="C37" i="2" s="1"/>
  <c r="G37" i="2" s="1"/>
  <c r="H35" i="2"/>
  <c r="C35" i="2" s="1"/>
  <c r="G35" i="2" s="1"/>
  <c r="H33" i="2"/>
  <c r="C33" i="2" s="1"/>
  <c r="G33" i="2" s="1"/>
  <c r="H63" i="2"/>
  <c r="C63" i="2" s="1"/>
  <c r="G63" i="2" s="1"/>
  <c r="H61" i="2"/>
  <c r="C61" i="2" s="1"/>
  <c r="G61" i="2" s="1"/>
  <c r="H59" i="2"/>
  <c r="C59" i="2" s="1"/>
  <c r="G59" i="2" s="1"/>
  <c r="H57" i="2"/>
  <c r="C57" i="2" s="1"/>
  <c r="G57" i="2" s="1"/>
  <c r="H55" i="2"/>
  <c r="C55" i="2" s="1"/>
  <c r="G55" i="2" s="1"/>
  <c r="D55" i="1" s="1"/>
  <c r="H2" i="2"/>
  <c r="C2" i="2" s="1"/>
  <c r="G2" i="2" s="1"/>
</calcChain>
</file>

<file path=xl/sharedStrings.xml><?xml version="1.0" encoding="utf-8"?>
<sst xmlns="http://schemas.openxmlformats.org/spreadsheetml/2006/main" count="364" uniqueCount="315">
  <si>
    <t>https://www.takealot.com/xrk-300mbps-router-4g-lte-mobile-hotspot-with-sim-card-slot/PLID100772788</t>
    <phoneticPr fontId="1" type="noConversion"/>
  </si>
  <si>
    <t>https://www.takealot.com/xrk-cpe-4g-router-with-sim-card-slot-wifi-6-4-lan-ports-300mbps/PLID100773431</t>
    <phoneticPr fontId="1" type="noConversion"/>
  </si>
  <si>
    <t>url</t>
    <phoneticPr fontId="1" type="noConversion"/>
  </si>
  <si>
    <t>min_price</t>
    <phoneticPr fontId="1" type="noConversion"/>
  </si>
  <si>
    <t>标题</t>
    <phoneticPr fontId="1" type="noConversion"/>
  </si>
  <si>
    <t>sku</t>
    <phoneticPr fontId="1" type="noConversion"/>
  </si>
  <si>
    <t>XRK-CPE 4G Router with SIM Card Slot WiFi 6 4 LAN Ports 300Mbps</t>
    <phoneticPr fontId="1" type="noConversion"/>
  </si>
  <si>
    <t>enabled</t>
    <phoneticPr fontId="1" type="noConversion"/>
  </si>
  <si>
    <t>1=监控</t>
    <phoneticPr fontId="1" type="noConversion"/>
  </si>
  <si>
    <t>0=关闭跳过</t>
    <phoneticPr fontId="1" type="noConversion"/>
  </si>
  <si>
    <t>XRK-300Mbps Router 4G LTE Mobile Hotspot with SIM Card Slot</t>
    <phoneticPr fontId="1" type="noConversion"/>
  </si>
  <si>
    <t>WR950-E+DC</t>
    <phoneticPr fontId="1" type="noConversion"/>
  </si>
  <si>
    <t>CPF101-E8</t>
    <phoneticPr fontId="1" type="noConversion"/>
  </si>
  <si>
    <t>Portable WiFi 4G LTE SIM Card Router 300Mbps High Speed Portable Router</t>
    <phoneticPr fontId="1" type="noConversion"/>
  </si>
  <si>
    <t>M32 - E Blue</t>
    <phoneticPr fontId="1" type="noConversion"/>
  </si>
  <si>
    <t>https://www.takealot.com/portable-wifi-4g-lte-sim-card-router-300mbps-high-speed-portable/PLID100467205</t>
    <phoneticPr fontId="1" type="noConversion"/>
  </si>
  <si>
    <t>Teeth Gem Set European and American Hip Hop Style DIY Teeth Diamond Set</t>
    <phoneticPr fontId="1" type="noConversion"/>
  </si>
  <si>
    <t>https://www.takealot.com/teeth-gem-set-european-and-american-hip-hop-style-diy-teeth-diam/PLID100491409</t>
    <phoneticPr fontId="1" type="noConversion"/>
  </si>
  <si>
    <t>teeth001</t>
    <phoneticPr fontId="1" type="noConversion"/>
  </si>
  <si>
    <t>Diamond Tooth Grill Set European and American Hip-Hop Style DIY</t>
    <phoneticPr fontId="1" type="noConversion"/>
  </si>
  <si>
    <t>https://www.takealot.com/diamond-tooth-grill-set-european-and-american-hip-hop-style-diy/PLID100562278</t>
    <phoneticPr fontId="1" type="noConversion"/>
  </si>
  <si>
    <t>teeth002</t>
    <phoneticPr fontId="1" type="noConversion"/>
  </si>
  <si>
    <t>XRK-4G LTE Mobile Hotspot 300Mbps Wireless Router with SIM Card Slot</t>
    <phoneticPr fontId="1" type="noConversion"/>
  </si>
  <si>
    <t>https://www.takealot.com/xrk-4g-lte-mobile-hotspot-300mbps-wireless-router-with-sim-card/PLID100940190</t>
    <phoneticPr fontId="1" type="noConversion"/>
  </si>
  <si>
    <t>CPF919-E</t>
    <phoneticPr fontId="1" type="noConversion"/>
  </si>
  <si>
    <t>XRK-4G Router Portable WiFi Wireless Outdoor Network 300Mbps 2100mAh</t>
    <phoneticPr fontId="1" type="noConversion"/>
  </si>
  <si>
    <t>https://www.takealot.com/xrk-4g-router-portable-wifi-wireless-outdoor-network-300mbps-210/PLID100939238</t>
    <phoneticPr fontId="1" type="noConversion"/>
  </si>
  <si>
    <t>M1-E+TX</t>
    <phoneticPr fontId="1" type="noConversion"/>
  </si>
  <si>
    <t>XRK-5G Router Supports SIM Card WiFi 6 Dual Band 2.4G &amp; 5G</t>
    <phoneticPr fontId="1" type="noConversion"/>
  </si>
  <si>
    <t>https://www.takealot.com/xrk-5g-router-supports-sim-card-wifi-6-dual-band-2-4g-5g/PLID100926942</t>
    <phoneticPr fontId="1" type="noConversion"/>
  </si>
  <si>
    <t>NR180-E</t>
    <phoneticPr fontId="1" type="noConversion"/>
  </si>
  <si>
    <t>XRK-WiFi6 4G Router Portable WiFi Wireless Outdoor Network 300Mbps - Blue, Black</t>
    <phoneticPr fontId="1" type="noConversion"/>
  </si>
  <si>
    <t>https://www.takealot.com/xrk-wifi6-4g-router-portable-wifi-wireless-outdoor-network-300mb/PLID100926242?colour_variant=Blue%2C+Black</t>
    <phoneticPr fontId="1" type="noConversion"/>
  </si>
  <si>
    <t>XRK-WiFi6 4G Router Portable WiFi Wireless Outdoor Network 300Mbps - Orange, Black</t>
    <phoneticPr fontId="1" type="noConversion"/>
  </si>
  <si>
    <t>https://www.takealot.com/xrk-wifi6-4g-router-portable-wifi-wireless-outdoor-network-300mb/PLID100926242?colour_variant=Orange%2C+Black</t>
    <phoneticPr fontId="1" type="noConversion"/>
  </si>
  <si>
    <t>MF967B-E-Orange</t>
    <phoneticPr fontId="1" type="noConversion"/>
  </si>
  <si>
    <t>MF967B-E-Blue</t>
    <phoneticPr fontId="1" type="noConversion"/>
  </si>
  <si>
    <t>XRK-5G SIM Card 600Mbps WiFi6 Dual Band Router with WAN/LAN Ports</t>
    <phoneticPr fontId="1" type="noConversion"/>
  </si>
  <si>
    <t>NR200-E</t>
    <phoneticPr fontId="1" type="noConversion"/>
  </si>
  <si>
    <t>XRK Portable Home Wireless Electric Green Juicer 450ML 2 Cups</t>
    <phoneticPr fontId="1" type="noConversion"/>
  </si>
  <si>
    <t>https://www.takealot.com/xrk-portable-home-wireless-electric-green-juicer-450ml-2-cups/PLID100826535</t>
    <phoneticPr fontId="1" type="noConversion"/>
  </si>
  <si>
    <t>XRK Portable Home Wireless Electric White Juicer 450ML 2 Cups</t>
    <phoneticPr fontId="1" type="noConversion"/>
  </si>
  <si>
    <t>https://www.takealot.com/xrk-portable-home-wireless-electric-white-juicer-450ml-2-cups/PLID100770976</t>
    <phoneticPr fontId="1" type="noConversion"/>
  </si>
  <si>
    <t>SY-Juicer-38Knife-White</t>
    <phoneticPr fontId="1" type="noConversion"/>
  </si>
  <si>
    <t>SY-Juicer-38Knife-Green</t>
    <phoneticPr fontId="1" type="noConversion"/>
  </si>
  <si>
    <t>XRK Portable Home Wireless Electric Pink Juicer 450ML 2 Cups</t>
    <phoneticPr fontId="1" type="noConversion"/>
  </si>
  <si>
    <t>https://www.takealot.com/xrk-portable-home-wireless-electric-pink-juicer-450ml-2-cups/PLID100662728</t>
    <phoneticPr fontId="1" type="noConversion"/>
  </si>
  <si>
    <t>SY-Juicer-38Knife-Pink</t>
    <phoneticPr fontId="1" type="noConversion"/>
  </si>
  <si>
    <t>XRK-WiFi6 5G Portable WiFi Router Dual-Band 600Mbps Wireless Router</t>
    <phoneticPr fontId="1" type="noConversion"/>
  </si>
  <si>
    <t>https://www.takealot.com/xrk-wifi6-5g-portable-wifi-router-dual-band-600mbps-wireless-rou/PLID100789861</t>
    <phoneticPr fontId="1" type="noConversion"/>
  </si>
  <si>
    <t>M3A-E</t>
    <phoneticPr fontId="1" type="noConversion"/>
  </si>
  <si>
    <t>XRK-WIFI6 Portable Router 300Mbps 4G Wireless SIM Card Portable Mobile WiFi</t>
    <phoneticPr fontId="1" type="noConversion"/>
  </si>
  <si>
    <t>https://www.takealot.com/xrk-wifi6-portable-router-300mbps-4g-wireless-sim-card-portable/PLID100789855</t>
    <phoneticPr fontId="1" type="noConversion"/>
  </si>
  <si>
    <t>MF967P-E+cp</t>
  </si>
  <si>
    <t>XRK-5G Portable Pocket WiFi Color Screen Dual-Band Wireless Router 600Mbps</t>
    <phoneticPr fontId="1" type="noConversion"/>
  </si>
  <si>
    <t>https://www.takealot.com/xrk-5g-portable-pocket-wifi-color-screen-dual-band-wireless-rout/PLID100773558</t>
    <phoneticPr fontId="1" type="noConversion"/>
  </si>
  <si>
    <t>M2A-E</t>
    <phoneticPr fontId="1" type="noConversion"/>
  </si>
  <si>
    <t>https://www.takealot.com/xrk-5g-router-cpe-router-supports-sim-card-and-lan-port-wifi-6-d/PLID100748039</t>
    <phoneticPr fontId="1" type="noConversion"/>
  </si>
  <si>
    <t>XRK-5G Router CPE Router Supports SIM Card and LAN Port WiFi 6 Dual Band</t>
    <phoneticPr fontId="1" type="noConversion"/>
  </si>
  <si>
    <t>M55-E</t>
    <phoneticPr fontId="1" type="noConversion"/>
  </si>
  <si>
    <t>XRK-4G SIM Card Portable WiFi 6 Router with 45 RJ Network Ports</t>
    <phoneticPr fontId="1" type="noConversion"/>
  </si>
  <si>
    <t>https://www.takealot.com/xrk-4g-sim-card-portable-wifi-6-router-with-45-rj-network-ports/PLID100748037</t>
    <phoneticPr fontId="1" type="noConversion"/>
  </si>
  <si>
    <t>Q52-E</t>
    <phoneticPr fontId="1" type="noConversion"/>
  </si>
  <si>
    <t>XRK-5G Router CPE Router Supports SIM Card WiFi 6 Dual Band 2.4G &amp; 5G</t>
    <phoneticPr fontId="1" type="noConversion"/>
  </si>
  <si>
    <t>https://www.takealot.com/xrk-5g-router-cpe-router-supports-sim-card-wifi-6-dual-band-2-4g/PLID100744776</t>
    <phoneticPr fontId="1" type="noConversion"/>
  </si>
  <si>
    <t>NR800-E</t>
    <phoneticPr fontId="1" type="noConversion"/>
  </si>
  <si>
    <t>XRK-4G LTE SIM Card Router CPE for Home and Office with 2 LAN Ports</t>
    <phoneticPr fontId="1" type="noConversion"/>
  </si>
  <si>
    <t>https://www.takealot.com/xrk-4g-lte-sim-card-router-cpe-for-home-and-office-with-2-lan-po/PLID100744044</t>
    <phoneticPr fontId="1" type="noConversion"/>
  </si>
  <si>
    <t>210B-E</t>
    <phoneticPr fontId="1" type="noConversion"/>
  </si>
  <si>
    <t>XRK - Tilt-Head Doll Resin Desktop Ornament, Irregular Decoration</t>
    <phoneticPr fontId="1" type="noConversion"/>
  </si>
  <si>
    <t>https://www.takealot.com/xrk-tilt-head-doll-resin-desktop-ornament-irregular-decoration/PLID100744408</t>
    <phoneticPr fontId="1" type="noConversion"/>
  </si>
  <si>
    <t>Tilted Head Doll001</t>
  </si>
  <si>
    <t>XRK-Three-color mode desk lamp for use at the bedside or in the office</t>
    <phoneticPr fontId="1" type="noConversion"/>
  </si>
  <si>
    <t>https://www.takealot.com/xrk-three-color-mode-desk-lamp-for-use-at-the-bedside-or-in-the/PLID100689541</t>
    <phoneticPr fontId="1" type="noConversion"/>
  </si>
  <si>
    <t>JCT057B</t>
    <phoneticPr fontId="1" type="noConversion"/>
  </si>
  <si>
    <t>XRK-WiFi 6 Wireless Portable Router 4G 300Mbps Dual Band Shared Hotspot - Blue</t>
    <phoneticPr fontId="1" type="noConversion"/>
  </si>
  <si>
    <t>https://www.takealot.com/xrk-wifi-6-wireless-portable-router-4g-300mbps-dual-band-shared/PLID100686073?colour_variant=Blue</t>
    <phoneticPr fontId="1" type="noConversion"/>
  </si>
  <si>
    <t>XRK-WiFi 6 Wireless Portable Router 4G 300Mbps Dual Band Shared Hotspot - White</t>
    <phoneticPr fontId="1" type="noConversion"/>
  </si>
  <si>
    <t>https://www.takealot.com/xrk-wifi-6-wireless-portable-router-4g-300mbps-dual-band-shared/PLID100686073?colour_variant=White</t>
    <phoneticPr fontId="1" type="noConversion"/>
  </si>
  <si>
    <t>M10Pro-E-Blue</t>
    <phoneticPr fontId="1" type="noConversion"/>
  </si>
  <si>
    <t>M10Pro-E-White</t>
    <phoneticPr fontId="1" type="noConversion"/>
  </si>
  <si>
    <t>https://www.takealot.com/xrk-wifi6-wireless-portable-router-600mbps-5g-network-supports-3/PLID100681209</t>
    <phoneticPr fontId="1" type="noConversion"/>
  </si>
  <si>
    <t>XRK-WIFI6 Wireless Portable Router 600Mbps 5G Network Supports 32 Users</t>
    <phoneticPr fontId="1" type="noConversion"/>
  </si>
  <si>
    <t>M8A-E</t>
    <phoneticPr fontId="1" type="noConversion"/>
  </si>
  <si>
    <t>Bathroom Faucet Brass Faucet Outdoor Faucet Garden Faucet Bathroom</t>
    <phoneticPr fontId="1" type="noConversion"/>
  </si>
  <si>
    <t>https://www.takealot.com/bathroom-faucet-brass-faucet-outdoor-faucet-garden-faucet-bathro/PLID100625782</t>
    <phoneticPr fontId="1" type="noConversion"/>
  </si>
  <si>
    <t>faucet001</t>
    <phoneticPr fontId="1" type="noConversion"/>
  </si>
  <si>
    <t>Portable Mobile Hotspot 4G LTE Router 300Mbps High Speed Portable Router</t>
    <phoneticPr fontId="1" type="noConversion"/>
  </si>
  <si>
    <t>https://www.takealot.com/portable-mobile-hotspot-4g-lte-router-300mbps-high-speed-portabl/PLID100614390</t>
    <phoneticPr fontId="1" type="noConversion"/>
  </si>
  <si>
    <t>M31 - E White</t>
    <phoneticPr fontId="1" type="noConversion"/>
  </si>
  <si>
    <t>Portable SIM Card and RJ45 Port Shared Hotspots Foldable Antenna 4G Router</t>
    <phoneticPr fontId="1" type="noConversion"/>
  </si>
  <si>
    <t>https://www.takealot.com/portable-sim-card-and-rj45-port-shared-hotspots-foldable-antenna/PLID100614333</t>
    <phoneticPr fontId="1" type="noConversion"/>
  </si>
  <si>
    <t>Q30 - E White</t>
    <phoneticPr fontId="1" type="noConversion"/>
  </si>
  <si>
    <t>Wireless SIM Card Portable Mobile WiFi 300Mbps High-Speed Hotspot - White</t>
    <phoneticPr fontId="1" type="noConversion"/>
  </si>
  <si>
    <t>https://www.takealot.com/wireless-sim-card-portable-mobile-wifi-300mbps-high-speed-hotspo/PLID100614280</t>
    <phoneticPr fontId="1" type="noConversion"/>
  </si>
  <si>
    <t>M34 - E White</t>
    <phoneticPr fontId="1" type="noConversion"/>
  </si>
  <si>
    <t>4G Wireless Portable Mobile WiFi Router 300Mbps High-Speed Hotspot - White</t>
    <phoneticPr fontId="1" type="noConversion"/>
  </si>
  <si>
    <t>M33 - E White</t>
    <phoneticPr fontId="1" type="noConversion"/>
  </si>
  <si>
    <t>https://www.takealot.com/4g-wireless-portable-mobile-wifi-router-300mbps-high-speed-hotsp/PLID100614057</t>
    <phoneticPr fontId="1" type="noConversion"/>
  </si>
  <si>
    <t>150cm Medium and Large Dog Leash, Soft Cotton Handle, Alloy Buckle - Pink</t>
    <phoneticPr fontId="1" type="noConversion"/>
  </si>
  <si>
    <t>https://www.takealot.com/150cm-medium-and-large-dog-leash-soft-cotton-handle-alloy-buckle/PLID100537186</t>
    <phoneticPr fontId="1" type="noConversion"/>
  </si>
  <si>
    <t>TF051-PINK</t>
    <phoneticPr fontId="1" type="noConversion"/>
  </si>
  <si>
    <t>Camping Sleeping Pad, light Camping Mat , Built-in Foot Pump Inflatable</t>
    <phoneticPr fontId="1" type="noConversion"/>
  </si>
  <si>
    <t>https://www.takealot.com/camping-sleeping-pad-light-camping-mat-built-in-foot-pump-inflat/PLID100477361</t>
    <phoneticPr fontId="1" type="noConversion"/>
  </si>
  <si>
    <t>cqcd001</t>
    <phoneticPr fontId="1" type="noConversion"/>
  </si>
  <si>
    <t>Curling Wand Straight Hair Comb Multifunctional Styling Comb Portable</t>
    <phoneticPr fontId="1" type="noConversion"/>
  </si>
  <si>
    <t>hair115</t>
    <phoneticPr fontId="1" type="noConversion"/>
  </si>
  <si>
    <t>hairNEW115</t>
    <phoneticPr fontId="1" type="noConversion"/>
  </si>
  <si>
    <t>https://www.takealot.com/xrk-curling-wand-straight-hair-comb-multifunctional-styling-comb/PLID100748659</t>
    <phoneticPr fontId="1" type="noConversion"/>
  </si>
  <si>
    <t>XRK-Curling Wand Straight Hair Comb Multifunctional Styling Comb Portable</t>
    <phoneticPr fontId="1" type="noConversion"/>
  </si>
  <si>
    <t>https://www.takealot.com/curling-wand-straight-hair-comb-multifunctional-styling-comb-por/PLID100477143</t>
    <phoneticPr fontId="1" type="noConversion"/>
  </si>
  <si>
    <t>4G Portable WiFi Mobile Router 300Mbps High Speed Supports 10 Devices</t>
    <phoneticPr fontId="1" type="noConversion"/>
  </si>
  <si>
    <t>https://www.takealot.com/4g-portable-wifi-mobile-router-300mbps-high-speed-supports-10-de/PLID100468554</t>
    <phoneticPr fontId="1" type="noConversion"/>
  </si>
  <si>
    <t>MF967 - 5 Orange</t>
    <phoneticPr fontId="1" type="noConversion"/>
  </si>
  <si>
    <t>https://www.takealot.com/stronger-signal-portable-color-screen-600mbps-wireless-wifi6-rou/PLID100468552</t>
    <phoneticPr fontId="1" type="noConversion"/>
  </si>
  <si>
    <t>Stronger Signal Portable Color Screen 600Mbps Wireless WiFi6 Router 5G</t>
    <phoneticPr fontId="1" type="noConversion"/>
  </si>
  <si>
    <t>M2D - E</t>
  </si>
  <si>
    <t>4G Wireless Portable Mobile WiFi Router 300Mbps High-Speed Hotspot - Blue</t>
    <phoneticPr fontId="1" type="noConversion"/>
  </si>
  <si>
    <t>https://www.takealot.com/4g-wireless-portable-mobile-wifi-router-300mbps-high-speed-hotsp/PLID100468485</t>
    <phoneticPr fontId="1" type="noConversion"/>
  </si>
  <si>
    <t>M33 - E Blue</t>
  </si>
  <si>
    <t>Wireless High-Speed 4G WiFi Router Portable MiFi</t>
    <phoneticPr fontId="1" type="noConversion"/>
  </si>
  <si>
    <t>M28 - E White</t>
    <phoneticPr fontId="1" type="noConversion"/>
  </si>
  <si>
    <t>https://www.takealot.com/wireless-high-speed-4g-wifi-router-portable-mifi/PLID100467412</t>
    <phoneticPr fontId="1" type="noConversion"/>
  </si>
  <si>
    <t>Portable MIFI LTE Router Mobile WiFi Wireless Power Bank</t>
    <phoneticPr fontId="1" type="noConversion"/>
  </si>
  <si>
    <t>https://www.takealot.com/portable-mifi-lte-router-mobile-wifi-wireless-power-bank/PLID100467007</t>
    <phoneticPr fontId="1" type="noConversion"/>
  </si>
  <si>
    <t>M27 - E</t>
    <phoneticPr fontId="1" type="noConversion"/>
  </si>
  <si>
    <t>Windshield Cover for Ice and Snow Universal Fit for Car SUV Truck</t>
    <phoneticPr fontId="1" type="noConversion"/>
  </si>
  <si>
    <t>https://www.takealot.com/windshield-cover-for-ice-and-snow-universal-fit-for-car-suv-truc/PLID100417221</t>
    <phoneticPr fontId="1" type="noConversion"/>
  </si>
  <si>
    <t>S-c190-k107</t>
    <phoneticPr fontId="1" type="noConversion"/>
  </si>
  <si>
    <t>Windshield Cover-S</t>
    <phoneticPr fontId="1" type="noConversion"/>
  </si>
  <si>
    <t>XRK-Windshield Cover for Ice and Snow Universal Fit for Car SUV Truck - big</t>
    <phoneticPr fontId="1" type="noConversion"/>
  </si>
  <si>
    <t>https://www.takealot.com/xrk-windshield-cover-for-ice-and-snow-universal-fit-for-car-suv/PLID100681745?colour_variant=small</t>
    <phoneticPr fontId="1" type="noConversion"/>
  </si>
  <si>
    <t>XRK-Windshield Cover for Ice and Snow Universal Fit for Car SUV Truck - small</t>
    <phoneticPr fontId="1" type="noConversion"/>
  </si>
  <si>
    <t>Windshield Cover-L</t>
    <phoneticPr fontId="1" type="noConversion"/>
  </si>
  <si>
    <t>https://www.takealot.com/xrk-windshield-cover-for-ice-and-snow-universal-fit-for-car-suv/PLID100681745?colour_variant=big</t>
    <phoneticPr fontId="1" type="noConversion"/>
  </si>
  <si>
    <t>https://www.takealot.com/xrk-5g-sim-card-600mbps-wifi6-dual-band-router-with-wan-lan-port/PLID100831133</t>
    <phoneticPr fontId="1" type="noConversion"/>
  </si>
  <si>
    <t>原价</t>
    <phoneticPr fontId="1" type="noConversion"/>
  </si>
  <si>
    <t>XRK-1800Mbps WiFi6 Router 5G Mobile Hotspot with SIM Card Slot Dual Band</t>
    <phoneticPr fontId="1" type="noConversion"/>
  </si>
  <si>
    <t>https://www.takealot.com/xrk-1800mbps-wifi6-router-5g-mobile-hotspot-with-sim-card-slot-d/PLID100926223</t>
    <phoneticPr fontId="1" type="noConversion"/>
  </si>
  <si>
    <t>https://www.takealot.com/300mbps-multi-mode-wireless-router-4g-lte-mobile-hotspot-with-si/PLID100475179</t>
    <phoneticPr fontId="1" type="noConversion"/>
  </si>
  <si>
    <t>300Mbps Multi-Mode Wireless Router 4G LTE Mobile Hotspot with SIM Card Slot</t>
    <phoneticPr fontId="1" type="noConversion"/>
  </si>
  <si>
    <t xml:space="preserve">XRK 40-Pack Popcorn Boxes Sturdy and Durable Paper Popcorn Bucket </t>
    <phoneticPr fontId="1" type="noConversion"/>
  </si>
  <si>
    <t>popcorn bags01</t>
    <phoneticPr fontId="1" type="noConversion"/>
  </si>
  <si>
    <t>https://www.takealot.com/xrk-40-pack-popcorn-boxes-sturdy-and-durable-paper-popcorn-bucke/PLID100790045</t>
    <phoneticPr fontId="1" type="noConversion"/>
  </si>
  <si>
    <t>JuicerGEY</t>
    <phoneticPr fontId="1" type="noConversion"/>
  </si>
  <si>
    <t xml:space="preserve">XRK Portable Personal Electric USB Juicer 600ML Mini Blender - Grey </t>
    <phoneticPr fontId="1" type="noConversion"/>
  </si>
  <si>
    <t>https://www.takealot.com/xrk-electric-rotary-grill-brush-for-bbq-stainless-steel-rotary-b/PLID101159857</t>
    <phoneticPr fontId="1" type="noConversion"/>
  </si>
  <si>
    <t>https://www.takealot.com/xrk-portable-personal-electric-usb-juicer-600ml-mini-blender/PLID100614831?colour_variant=Grey</t>
    <phoneticPr fontId="1" type="noConversion"/>
  </si>
  <si>
    <t>XRK Electric Rotary Grill Brush for BBQ Stainless Steel Rotary Brush Head</t>
    <phoneticPr fontId="1" type="noConversion"/>
  </si>
  <si>
    <t>LZ-8057</t>
    <phoneticPr fontId="1" type="noConversion"/>
  </si>
  <si>
    <t>Adult Anti-Fog Diving Mask and Dry Snorkel Set</t>
    <phoneticPr fontId="1" type="noConversion"/>
  </si>
  <si>
    <t>https://www.takealot.com/adult-anti-fog-diving-mask-and-dry-snorkel-set/PLID100474772</t>
    <phoneticPr fontId="1" type="noConversion"/>
  </si>
  <si>
    <t>M1010S - Blackyellow</t>
    <phoneticPr fontId="1" type="noConversion"/>
  </si>
  <si>
    <t>NR500</t>
    <phoneticPr fontId="1" type="noConversion"/>
  </si>
  <si>
    <t>已停产</t>
    <phoneticPr fontId="1" type="noConversion"/>
  </si>
  <si>
    <t>https://www.takealot.com/xrk-3-small-round-brush-set-for-blow-drying-with-soft-nylon-bris/PLID100751877</t>
    <phoneticPr fontId="1" type="noConversion"/>
  </si>
  <si>
    <t>XRK-3 Small Round Brush Set for Blow Drying with Soft Nylon Bristles</t>
    <phoneticPr fontId="1" type="noConversion"/>
  </si>
  <si>
    <t>comb002</t>
    <phoneticPr fontId="1" type="noConversion"/>
  </si>
  <si>
    <t>XRK Decorative Dali Watch Melting Clock - Shelf Desk Fashion Melted Clock - Black+White</t>
    <phoneticPr fontId="1" type="noConversion"/>
  </si>
  <si>
    <t>https://www.takealot.com/xrk-decorative-dali-watch-melting-clock-shelf-desk-fashion-melte/PLID100959232?colour_variant=Black%2BWhite</t>
    <phoneticPr fontId="1" type="noConversion"/>
  </si>
  <si>
    <t>XRK Decorative Dali Watch Melting Clock - Shelf Desk Fashion Melted Clock - Gold</t>
    <phoneticPr fontId="1" type="noConversion"/>
  </si>
  <si>
    <t>https://www.takealot.com/xrk-decorative-dali-watch-melting-clock-shelf-desk-fashion-melte/PLID100959232?colour_variant=Gold</t>
    <phoneticPr fontId="1" type="noConversion"/>
  </si>
  <si>
    <t>XRK Decorative Dali Watch Melting Clock - Shelf Desk Fashion Melted Clock - Sliver</t>
    <phoneticPr fontId="1" type="noConversion"/>
  </si>
  <si>
    <t>https://www.takealot.com/xrk-decorative-dali-watch-melting-clock-shelf-desk-fashion-melte/PLID100959232?colour_variant=Sliver</t>
    <phoneticPr fontId="1" type="noConversion"/>
  </si>
  <si>
    <t>SKU</t>
  </si>
  <si>
    <t>TSIN</t>
  </si>
  <si>
    <t>FOB价</t>
  </si>
  <si>
    <t>尾程配送费</t>
  </si>
  <si>
    <t>VAT税率</t>
  </si>
  <si>
    <t>类目佣金</t>
  </si>
  <si>
    <t>前台价格</t>
  </si>
  <si>
    <t>头程总成本</t>
  </si>
  <si>
    <t>头程物流费rmb</t>
  </si>
  <si>
    <t>南非关税rmb</t>
  </si>
  <si>
    <t>进口vat税</t>
  </si>
  <si>
    <t>重量</t>
  </si>
  <si>
    <t>采购成本rmb</t>
  </si>
  <si>
    <t>产品利润rmb</t>
  </si>
  <si>
    <t>申报价值（美金）</t>
  </si>
  <si>
    <t xml:space="preserve">XRK-Dip Sea Whale Dipping Dish Made of Plastic Balsamic Soy Sauce Plate  </t>
    <phoneticPr fontId="1" type="noConversion"/>
  </si>
  <si>
    <t>ShouNaDai001</t>
    <phoneticPr fontId="1" type="noConversion"/>
  </si>
  <si>
    <t>Dipping Dish001</t>
    <phoneticPr fontId="1" type="noConversion"/>
  </si>
  <si>
    <t>ShouNaDai001</t>
    <phoneticPr fontId="1" type="noConversion"/>
  </si>
  <si>
    <t>Dipping Dish001</t>
    <phoneticPr fontId="1" type="noConversion"/>
  </si>
  <si>
    <t xml:space="preserve">XRK - 3PC Versatile Storage Strap With Handle- Ideal Organizer For Hoses  </t>
    <phoneticPr fontId="1" type="noConversion"/>
  </si>
  <si>
    <t>https://www.takealot.com/xrk-dip-sea-whale-dipping-dish-made-of-plastic-balsamic-soy-sauc/PLID101933382</t>
    <phoneticPr fontId="1" type="noConversion"/>
  </si>
  <si>
    <t>https://www.takealot.com/xrk-3pc-versatile-storage-strap-with-handle-ideal-organizer-for/PLID101931067</t>
    <phoneticPr fontId="1" type="noConversion"/>
  </si>
  <si>
    <t>NR17-E</t>
    <phoneticPr fontId="1" type="noConversion"/>
  </si>
  <si>
    <t>Lip Tint</t>
    <phoneticPr fontId="1" type="noConversion"/>
  </si>
  <si>
    <t>EyelinerStamp</t>
    <phoneticPr fontId="1" type="noConversion"/>
  </si>
  <si>
    <t>Nose Rings-Red</t>
    <phoneticPr fontId="1" type="noConversion"/>
  </si>
  <si>
    <t>Nose Rings-Yellow</t>
    <phoneticPr fontId="1" type="noConversion"/>
  </si>
  <si>
    <t>Nose Rings-Blue</t>
    <phoneticPr fontId="1" type="noConversion"/>
  </si>
  <si>
    <t>Nose Rings-Green</t>
    <phoneticPr fontId="1" type="noConversion"/>
  </si>
  <si>
    <t>Nose Rings-Pink</t>
  </si>
  <si>
    <t>Nose Rings-Black</t>
    <phoneticPr fontId="1" type="noConversion"/>
  </si>
  <si>
    <t>Nose Rings-Purple</t>
  </si>
  <si>
    <t>Nose Rings-White</t>
  </si>
  <si>
    <t>Spice Grinder*2</t>
  </si>
  <si>
    <t>Spice Grinder-Red</t>
  </si>
  <si>
    <t>XiaoLaJiao HOOK</t>
    <phoneticPr fontId="1" type="noConversion"/>
  </si>
  <si>
    <t>Spice Grinder-White</t>
  </si>
  <si>
    <t>Sun hat001</t>
    <phoneticPr fontId="1" type="noConversion"/>
  </si>
  <si>
    <t>Humidifier001</t>
  </si>
  <si>
    <t>C521-E+DC</t>
  </si>
  <si>
    <t>R102-E</t>
    <phoneticPr fontId="1" type="noConversion"/>
  </si>
  <si>
    <t>bottle game</t>
  </si>
  <si>
    <t>Kitchen Playset</t>
  </si>
  <si>
    <t>Light Bulbs</t>
  </si>
  <si>
    <t>WR800-E</t>
    <phoneticPr fontId="1" type="noConversion"/>
  </si>
  <si>
    <t>WR900-E</t>
  </si>
  <si>
    <t>M26-E</t>
  </si>
  <si>
    <t>M212-E</t>
  </si>
  <si>
    <t>M7-E</t>
  </si>
  <si>
    <t>TZ1808253</t>
  </si>
  <si>
    <t>Pot lid handle</t>
  </si>
  <si>
    <t>plant clips</t>
  </si>
  <si>
    <t>Juicers-HD-10-Black</t>
  </si>
  <si>
    <t>Juicers-HD-10-White</t>
  </si>
  <si>
    <t>watchBLK</t>
  </si>
  <si>
    <t>Eyeliner Set</t>
  </si>
  <si>
    <t>mascara</t>
  </si>
  <si>
    <t>shayublue</t>
  </si>
  <si>
    <t>113BLU</t>
  </si>
  <si>
    <t>113PinkA</t>
  </si>
  <si>
    <t>113PinkB</t>
  </si>
  <si>
    <t>A06BLK</t>
  </si>
  <si>
    <t>A06WHI</t>
  </si>
  <si>
    <t>A06BLU</t>
  </si>
  <si>
    <t>A06BRO</t>
  </si>
  <si>
    <t>A06PUR</t>
  </si>
  <si>
    <t>BAGDABL</t>
  </si>
  <si>
    <t>Pendants90pcs</t>
  </si>
  <si>
    <t>BAGBLA</t>
  </si>
  <si>
    <t>BAGPIN</t>
  </si>
  <si>
    <t>BAGBRO</t>
  </si>
  <si>
    <t>BAGGRAY</t>
  </si>
  <si>
    <t>caseblk</t>
  </si>
  <si>
    <t>casegre</t>
  </si>
  <si>
    <t>casepink</t>
  </si>
  <si>
    <t>caseLgre</t>
  </si>
  <si>
    <t>caseRed</t>
  </si>
  <si>
    <t>casepur</t>
  </si>
  <si>
    <t>key19</t>
  </si>
  <si>
    <t>Waterproof bag - 20L</t>
  </si>
  <si>
    <t>AB002</t>
  </si>
  <si>
    <t>7color</t>
  </si>
  <si>
    <t>TaiRui001</t>
  </si>
  <si>
    <t>AL1009325984</t>
  </si>
  <si>
    <t>JuicerWIT</t>
  </si>
  <si>
    <t>HairGrey</t>
  </si>
  <si>
    <t>HairPink</t>
  </si>
  <si>
    <t>Resin jewelry001</t>
  </si>
  <si>
    <t>M1010S - Yellow</t>
  </si>
  <si>
    <t>M1010S - BlackOrange</t>
  </si>
  <si>
    <t>M1010S - Black</t>
  </si>
  <si>
    <t>HE-3000-EVA</t>
  </si>
  <si>
    <t>Showerhead001</t>
  </si>
  <si>
    <t>PTA01</t>
  </si>
  <si>
    <t>Dog Leash-GreenPink</t>
  </si>
  <si>
    <t>Dog Leash-BlueGreen</t>
  </si>
  <si>
    <t>Dog Leash-PinkPurple</t>
  </si>
  <si>
    <t>TY-YJ02A1pcs</t>
  </si>
  <si>
    <t>TY-YJ02A2pcs</t>
  </si>
  <si>
    <t>XO-CF51GREY</t>
  </si>
  <si>
    <t>NettedBags01</t>
  </si>
  <si>
    <t>Phone HolderBLK</t>
  </si>
  <si>
    <t>Phone HolderWHT</t>
  </si>
  <si>
    <t>colored pens12pack</t>
  </si>
  <si>
    <t>Paint Pens48pack</t>
  </si>
  <si>
    <t>game01</t>
  </si>
  <si>
    <t>Tree Trimming Set01</t>
  </si>
  <si>
    <t>COLOR PEN</t>
  </si>
  <si>
    <t>GAME02</t>
  </si>
  <si>
    <t>Pregnancy Belly BandS</t>
  </si>
  <si>
    <t>Pregnancy Belly BandM</t>
  </si>
  <si>
    <t>Pregnancy Belly BandL</t>
  </si>
  <si>
    <t>Pregnancy Belly BandXL</t>
  </si>
  <si>
    <t>Pregnancy Belly Band2XL</t>
  </si>
  <si>
    <t>Passport Wallet01</t>
  </si>
  <si>
    <t>Birthday Balloon2pcs</t>
  </si>
  <si>
    <t>Birthday Balloon4pcs</t>
  </si>
  <si>
    <t>Birthday Balloon8pcs</t>
  </si>
  <si>
    <t>PPLYDXXXS</t>
  </si>
  <si>
    <t>PPLYDXXS</t>
  </si>
  <si>
    <t>PPLYDXS</t>
  </si>
  <si>
    <t>PPLYDS</t>
  </si>
  <si>
    <t>PPLYDM</t>
  </si>
  <si>
    <t>PPLYDL</t>
  </si>
  <si>
    <t>PPLYDXL</t>
  </si>
  <si>
    <t>PPLYD2XL</t>
  </si>
  <si>
    <t>PPLYD3XL</t>
  </si>
  <si>
    <t>PPLYD4XL</t>
  </si>
  <si>
    <t>Mini tent-Grey</t>
  </si>
  <si>
    <t>Mini tent-Blue</t>
  </si>
  <si>
    <t>Mini tent-Red</t>
  </si>
  <si>
    <t>Mini tent-Purple</t>
  </si>
  <si>
    <t>STJDOG</t>
  </si>
  <si>
    <t>STJshell</t>
  </si>
  <si>
    <t>Stress relief toy-Red</t>
  </si>
  <si>
    <t>Stress relief toy-Yellow</t>
  </si>
  <si>
    <t>Stress relief toy-Green</t>
  </si>
  <si>
    <t>Stress relief toy-Blue</t>
  </si>
  <si>
    <t>headwear</t>
  </si>
  <si>
    <t>Hair ClipPINK</t>
  </si>
  <si>
    <t>Hair ClipBLACK</t>
  </si>
  <si>
    <t>Spoon</t>
  </si>
  <si>
    <t>electric screwdriver set</t>
  </si>
  <si>
    <t>TouYingDeng 3 - Milky Way</t>
  </si>
  <si>
    <t>TouYingDeng 2 - Starry Sky</t>
  </si>
  <si>
    <t>TouYingDeng 1 - Saturn</t>
  </si>
  <si>
    <t>hairpin</t>
    <phoneticPr fontId="1" type="noConversion"/>
  </si>
  <si>
    <t>CP106 - E</t>
    <phoneticPr fontId="1" type="noConversion"/>
  </si>
  <si>
    <t>AEZ73453509-001</t>
    <phoneticPr fontId="1" type="noConversion"/>
  </si>
  <si>
    <t>MF967P-E+cp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</si>
</sst>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2"/>
      <color rgb="FF00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3EAD5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2"/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9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left"/>
    </xf>
    <xf numFmtId="1" fontId="0" fillId="0" borderId="0" xfId="0" applyNumberFormat="1"/>
  </cellXfs>
  <cellStyles count="3">
    <cellStyle name="常规" xfId="0" builtinId="0"/>
    <cellStyle name="常规 2" xfId="1" xr:uid="{656706BE-E2C3-440D-A7AF-7BA3914FDD70}"/>
    <cellStyle name="超链接" xfId="2" builtinId="8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akealot.com/xrk-portable-home-wireless-electric-pink-juicer-450ml-2-cups/PLID100662728" TargetMode="External"/><Relationship Id="rId18" Type="http://schemas.openxmlformats.org/officeDocument/2006/relationships/hyperlink" Target="https://www.takealot.com/xrk-4g-sim-card-portable-wifi-6-router-with-45-rj-network-ports/PLID100748037" TargetMode="External"/><Relationship Id="rId26" Type="http://schemas.openxmlformats.org/officeDocument/2006/relationships/hyperlink" Target="https://www.takealot.com/bathroom-faucet-brass-faucet-outdoor-faucet-garden-faucet-bathro/PLID100625782" TargetMode="External"/><Relationship Id="rId39" Type="http://schemas.openxmlformats.org/officeDocument/2006/relationships/hyperlink" Target="https://www.takealot.com/portable-mifi-lte-router-mobile-wifi-wireless-power-bank/PLID100467007" TargetMode="External"/><Relationship Id="rId21" Type="http://schemas.openxmlformats.org/officeDocument/2006/relationships/hyperlink" Target="https://www.takealot.com/xrk-tilt-head-doll-resin-desktop-ornament-irregular-decoration/PLID100744408" TargetMode="External"/><Relationship Id="rId34" Type="http://schemas.openxmlformats.org/officeDocument/2006/relationships/hyperlink" Target="https://www.takealot.com/curling-wand-straight-hair-comb-multifunctional-styling-comb-por/PLID100477143" TargetMode="External"/><Relationship Id="rId42" Type="http://schemas.openxmlformats.org/officeDocument/2006/relationships/hyperlink" Target="https://www.takealot.com/xrk-windshield-cover-for-ice-and-snow-universal-fit-for-car-suv/PLID100681745?colour_variant=big" TargetMode="External"/><Relationship Id="rId47" Type="http://schemas.openxmlformats.org/officeDocument/2006/relationships/hyperlink" Target="https://www.takealot.com/xrk-electric-rotary-grill-brush-for-bbq-stainless-steel-rotary-b/PLID101159857" TargetMode="External"/><Relationship Id="rId50" Type="http://schemas.openxmlformats.org/officeDocument/2006/relationships/hyperlink" Target="https://www.takealot.com/xrk-3-small-round-brush-set-for-blow-drying-with-soft-nylon-bris/PLID100751877" TargetMode="External"/><Relationship Id="rId55" Type="http://schemas.openxmlformats.org/officeDocument/2006/relationships/hyperlink" Target="https://www.takealot.com/xrk-3pc-versatile-storage-strap-with-handle-ideal-organizer-for/PLID101931067" TargetMode="External"/><Relationship Id="rId7" Type="http://schemas.openxmlformats.org/officeDocument/2006/relationships/hyperlink" Target="https://www.takealot.com/xrk-4g-router-portable-wifi-wireless-outdoor-network-300mbps-210/PLID100939238" TargetMode="External"/><Relationship Id="rId2" Type="http://schemas.openxmlformats.org/officeDocument/2006/relationships/hyperlink" Target="https://www.takealot.com/xrk-cpe-4g-router-with-sim-card-slot-wifi-6-4-lan-ports-300mbps/PLID100773431" TargetMode="External"/><Relationship Id="rId16" Type="http://schemas.openxmlformats.org/officeDocument/2006/relationships/hyperlink" Target="https://www.takealot.com/xrk-5g-portable-pocket-wifi-color-screen-dual-band-wireless-rout/PLID100773558" TargetMode="External"/><Relationship Id="rId29" Type="http://schemas.openxmlformats.org/officeDocument/2006/relationships/hyperlink" Target="https://www.takealot.com/wireless-sim-card-portable-mobile-wifi-300mbps-high-speed-hotspo/PLID100614280" TargetMode="External"/><Relationship Id="rId11" Type="http://schemas.openxmlformats.org/officeDocument/2006/relationships/hyperlink" Target="https://www.takealot.com/xrk-portable-home-wireless-electric-green-juicer-450ml-2-cups/PLID100826535" TargetMode="External"/><Relationship Id="rId24" Type="http://schemas.openxmlformats.org/officeDocument/2006/relationships/hyperlink" Target="https://www.takealot.com/xrk-wifi-6-wireless-portable-router-4g-300mbps-dual-band-shared/PLID100686073?colour_variant=White" TargetMode="External"/><Relationship Id="rId32" Type="http://schemas.openxmlformats.org/officeDocument/2006/relationships/hyperlink" Target="https://www.takealot.com/camping-sleeping-pad-light-camping-mat-built-in-foot-pump-inflat/PLID100477361" TargetMode="External"/><Relationship Id="rId37" Type="http://schemas.openxmlformats.org/officeDocument/2006/relationships/hyperlink" Target="https://www.takealot.com/4g-wireless-portable-mobile-wifi-router-300mbps-high-speed-hotsp/PLID100468485" TargetMode="External"/><Relationship Id="rId40" Type="http://schemas.openxmlformats.org/officeDocument/2006/relationships/hyperlink" Target="https://www.takealot.com/windshield-cover-for-ice-and-snow-universal-fit-for-car-suv-truc/PLID100417221" TargetMode="External"/><Relationship Id="rId45" Type="http://schemas.openxmlformats.org/officeDocument/2006/relationships/hyperlink" Target="https://www.takealot.com/300mbps-multi-mode-wireless-router-4g-lte-mobile-hotspot-with-si/PLID100475179" TargetMode="External"/><Relationship Id="rId53" Type="http://schemas.openxmlformats.org/officeDocument/2006/relationships/hyperlink" Target="https://www.takealot.com/xrk-decorative-dali-watch-melting-clock-shelf-desk-fashion-melte/PLID100959232?colour_variant=Sliver" TargetMode="External"/><Relationship Id="rId5" Type="http://schemas.openxmlformats.org/officeDocument/2006/relationships/hyperlink" Target="https://www.takealot.com/diamond-tooth-grill-set-european-and-american-hip-hop-style-diy/PLID100562278" TargetMode="External"/><Relationship Id="rId10" Type="http://schemas.openxmlformats.org/officeDocument/2006/relationships/hyperlink" Target="https://www.takealot.com/xrk-wifi6-4g-router-portable-wifi-wireless-outdoor-network-300mb/PLID100926242?colour_variant=Orange%2C+Black" TargetMode="External"/><Relationship Id="rId19" Type="http://schemas.openxmlformats.org/officeDocument/2006/relationships/hyperlink" Target="https://www.takealot.com/xrk-5g-router-cpe-router-supports-sim-card-wifi-6-dual-band-2-4g/PLID100744776" TargetMode="External"/><Relationship Id="rId31" Type="http://schemas.openxmlformats.org/officeDocument/2006/relationships/hyperlink" Target="https://www.takealot.com/150cm-medium-and-large-dog-leash-soft-cotton-handle-alloy-buckle/PLID100537186" TargetMode="External"/><Relationship Id="rId44" Type="http://schemas.openxmlformats.org/officeDocument/2006/relationships/hyperlink" Target="https://www.takealot.com/xrk-1800mbps-wifi6-router-5g-mobile-hotspot-with-sim-card-slot-d/PLID100926223" TargetMode="External"/><Relationship Id="rId52" Type="http://schemas.openxmlformats.org/officeDocument/2006/relationships/hyperlink" Target="https://www.takealot.com/xrk-decorative-dali-watch-melting-clock-shelf-desk-fashion-melte/PLID100959232?colour_variant=Gold" TargetMode="External"/><Relationship Id="rId4" Type="http://schemas.openxmlformats.org/officeDocument/2006/relationships/hyperlink" Target="https://www.takealot.com/teeth-gem-set-european-and-american-hip-hop-style-diy-teeth-diam/PLID100491409" TargetMode="External"/><Relationship Id="rId9" Type="http://schemas.openxmlformats.org/officeDocument/2006/relationships/hyperlink" Target="https://www.takealot.com/xrk-wifi6-4g-router-portable-wifi-wireless-outdoor-network-300mb/PLID100926242?colour_variant=Blue%2C+Black" TargetMode="External"/><Relationship Id="rId14" Type="http://schemas.openxmlformats.org/officeDocument/2006/relationships/hyperlink" Target="https://www.takealot.com/xrk-wifi6-5g-portable-wifi-router-dual-band-600mbps-wireless-rou/PLID100789861" TargetMode="External"/><Relationship Id="rId22" Type="http://schemas.openxmlformats.org/officeDocument/2006/relationships/hyperlink" Target="https://www.takealot.com/xrk-three-color-mode-desk-lamp-for-use-at-the-bedside-or-in-the/PLID100689541" TargetMode="External"/><Relationship Id="rId27" Type="http://schemas.openxmlformats.org/officeDocument/2006/relationships/hyperlink" Target="https://www.takealot.com/portable-mobile-hotspot-4g-lte-router-300mbps-high-speed-portabl/PLID100614390" TargetMode="External"/><Relationship Id="rId30" Type="http://schemas.openxmlformats.org/officeDocument/2006/relationships/hyperlink" Target="https://www.takealot.com/4g-wireless-portable-mobile-wifi-router-300mbps-high-speed-hotsp/PLID100614057" TargetMode="External"/><Relationship Id="rId35" Type="http://schemas.openxmlformats.org/officeDocument/2006/relationships/hyperlink" Target="https://www.takealot.com/4g-portable-wifi-mobile-router-300mbps-high-speed-supports-10-de/PLID100468554" TargetMode="External"/><Relationship Id="rId43" Type="http://schemas.openxmlformats.org/officeDocument/2006/relationships/hyperlink" Target="https://www.takealot.com/xrk-5g-sim-card-600mbps-wifi6-dual-band-router-with-wan-lan-port/PLID100831133" TargetMode="External"/><Relationship Id="rId48" Type="http://schemas.openxmlformats.org/officeDocument/2006/relationships/hyperlink" Target="https://www.takealot.com/xrk-portable-personal-electric-usb-juicer-600ml-mini-blender/PLID100614831?colour_variant=Grey" TargetMode="External"/><Relationship Id="rId8" Type="http://schemas.openxmlformats.org/officeDocument/2006/relationships/hyperlink" Target="https://www.takealot.com/xrk-5g-router-supports-sim-card-wifi-6-dual-band-2-4g-5g/PLID100926942" TargetMode="External"/><Relationship Id="rId51" Type="http://schemas.openxmlformats.org/officeDocument/2006/relationships/hyperlink" Target="https://www.takealot.com/xrk-decorative-dali-watch-melting-clock-shelf-desk-fashion-melte/PLID100959232?colour_variant=Black%2BWhite" TargetMode="External"/><Relationship Id="rId3" Type="http://schemas.openxmlformats.org/officeDocument/2006/relationships/hyperlink" Target="https://www.takealot.com/portable-wifi-4g-lte-sim-card-router-300mbps-high-speed-portable/PLID100467205" TargetMode="External"/><Relationship Id="rId12" Type="http://schemas.openxmlformats.org/officeDocument/2006/relationships/hyperlink" Target="https://www.takealot.com/xrk-portable-home-wireless-electric-white-juicer-450ml-2-cups/PLID100770976" TargetMode="External"/><Relationship Id="rId17" Type="http://schemas.openxmlformats.org/officeDocument/2006/relationships/hyperlink" Target="https://www.takealot.com/xrk-5g-router-cpe-router-supports-sim-card-and-lan-port-wifi-6-d/PLID100748039" TargetMode="External"/><Relationship Id="rId25" Type="http://schemas.openxmlformats.org/officeDocument/2006/relationships/hyperlink" Target="https://www.takealot.com/xrk-wifi6-wireless-portable-router-600mbps-5g-network-supports-3/PLID100681209" TargetMode="External"/><Relationship Id="rId33" Type="http://schemas.openxmlformats.org/officeDocument/2006/relationships/hyperlink" Target="https://www.takealot.com/xrk-curling-wand-straight-hair-comb-multifunctional-styling-comb/PLID100748659" TargetMode="External"/><Relationship Id="rId38" Type="http://schemas.openxmlformats.org/officeDocument/2006/relationships/hyperlink" Target="https://www.takealot.com/wireless-high-speed-4g-wifi-router-portable-mifi/PLID100467412" TargetMode="External"/><Relationship Id="rId46" Type="http://schemas.openxmlformats.org/officeDocument/2006/relationships/hyperlink" Target="https://www.takealot.com/xrk-40-pack-popcorn-boxes-sturdy-and-durable-paper-popcorn-bucke/PLID100790045" TargetMode="External"/><Relationship Id="rId20" Type="http://schemas.openxmlformats.org/officeDocument/2006/relationships/hyperlink" Target="https://www.takealot.com/xrk-4g-lte-sim-card-router-cpe-for-home-and-office-with-2-lan-po/PLID100744044" TargetMode="External"/><Relationship Id="rId41" Type="http://schemas.openxmlformats.org/officeDocument/2006/relationships/hyperlink" Target="https://www.takealot.com/xrk-windshield-cover-for-ice-and-snow-universal-fit-for-car-suv/PLID100681745?colour_variant=small" TargetMode="External"/><Relationship Id="rId54" Type="http://schemas.openxmlformats.org/officeDocument/2006/relationships/hyperlink" Target="https://www.takealot.com/xrk-dip-sea-whale-dipping-dish-made-of-plastic-balsamic-soy-sauc/PLID101933382" TargetMode="External"/><Relationship Id="rId1" Type="http://schemas.openxmlformats.org/officeDocument/2006/relationships/hyperlink" Target="https://www.takealot.com/xrk-300mbps-router-4g-lte-mobile-hotspot-with-sim-card-slot/PLID100772788" TargetMode="External"/><Relationship Id="rId6" Type="http://schemas.openxmlformats.org/officeDocument/2006/relationships/hyperlink" Target="https://www.takealot.com/xrk-4g-lte-mobile-hotspot-300mbps-wireless-router-with-sim-card/PLID100940190" TargetMode="External"/><Relationship Id="rId15" Type="http://schemas.openxmlformats.org/officeDocument/2006/relationships/hyperlink" Target="https://www.takealot.com/xrk-wifi6-portable-router-300mbps-4g-wireless-sim-card-portable/PLID100789855" TargetMode="External"/><Relationship Id="rId23" Type="http://schemas.openxmlformats.org/officeDocument/2006/relationships/hyperlink" Target="https://www.takealot.com/xrk-wifi-6-wireless-portable-router-4g-300mbps-dual-band-shared/PLID100686073?colour_variant=Blue" TargetMode="External"/><Relationship Id="rId28" Type="http://schemas.openxmlformats.org/officeDocument/2006/relationships/hyperlink" Target="https://www.takealot.com/portable-sim-card-and-rj45-port-shared-hotspots-foldable-antenna/PLID100614333" TargetMode="External"/><Relationship Id="rId36" Type="http://schemas.openxmlformats.org/officeDocument/2006/relationships/hyperlink" Target="https://www.takealot.com/stronger-signal-portable-color-screen-600mbps-wireless-wifi6-rou/PLID100468552" TargetMode="External"/><Relationship Id="rId49" Type="http://schemas.openxmlformats.org/officeDocument/2006/relationships/hyperlink" Target="https://www.takealot.com/adult-anti-fog-diving-mask-and-dry-snorkel-set/PLID1004747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22" workbookViewId="0">
      <selection activeCell="G38" sqref="G38"/>
    </sheetView>
  </sheetViews>
  <sheetFormatPr defaultRowHeight="14.25" x14ac:dyDescent="0.2"/>
  <cols>
    <col min="1" max="1" width="13.75" customWidth="1"/>
    <col min="2" max="2" width="21.125" style="2" customWidth="1"/>
    <col min="3" max="3" width="13.625" customWidth="1"/>
    <col min="4" max="4" width="19.5" customWidth="1"/>
  </cols>
  <sheetData>
    <row r="1" spans="1:7" x14ac:dyDescent="0.2">
      <c r="A1" t="s">
        <v>4</v>
      </c>
      <c r="B1" s="2" t="s">
        <v>5</v>
      </c>
      <c r="C1" t="s">
        <v>2</v>
      </c>
      <c r="D1" t="s">
        <v>3</v>
      </c>
      <c r="E1" t="s">
        <v>7</v>
      </c>
      <c r="F1" t="s">
        <v>136</v>
      </c>
    </row>
    <row r="2" spans="1:7" x14ac:dyDescent="0.2">
      <c r="A2" t="s">
        <v>10</v>
      </c>
      <c r="B2" s="2" t="s">
        <v>12</v>
      </c>
      <c r="C2" s="1" t="s">
        <v>0</v>
      </c>
      <c r="D2">
        <v>865</v>
      </c>
      <c r="E2">
        <v>0</v>
      </c>
      <c r="G2" t="s">
        <v>8</v>
      </c>
    </row>
    <row r="3" spans="1:7" x14ac:dyDescent="0.2">
      <c r="A3" t="s">
        <v>6</v>
      </c>
      <c r="B3" s="2" t="s">
        <v>11</v>
      </c>
      <c r="C3" s="1" t="s">
        <v>1</v>
      </c>
      <c r="D3">
        <v>760</v>
      </c>
      <c r="E3">
        <v>0</v>
      </c>
      <c r="G3" t="s">
        <v>9</v>
      </c>
    </row>
    <row r="4" spans="1:7" x14ac:dyDescent="0.2">
      <c r="A4" t="s">
        <v>13</v>
      </c>
      <c r="B4" s="2" t="s">
        <v>14</v>
      </c>
      <c r="C4" s="1" t="s">
        <v>15</v>
      </c>
      <c r="D4">
        <v>413</v>
      </c>
      <c r="E4">
        <v>0</v>
      </c>
    </row>
    <row r="5" spans="1:7" x14ac:dyDescent="0.2">
      <c r="A5" t="s">
        <v>16</v>
      </c>
      <c r="B5" t="s">
        <v>18</v>
      </c>
      <c r="C5" s="1" t="s">
        <v>17</v>
      </c>
      <c r="D5">
        <v>227</v>
      </c>
      <c r="E5">
        <v>0</v>
      </c>
    </row>
    <row r="6" spans="1:7" x14ac:dyDescent="0.2">
      <c r="A6" t="s">
        <v>19</v>
      </c>
      <c r="B6" s="2" t="s">
        <v>21</v>
      </c>
      <c r="C6" s="1" t="s">
        <v>20</v>
      </c>
      <c r="D6">
        <v>225</v>
      </c>
      <c r="E6">
        <v>0</v>
      </c>
    </row>
    <row r="7" spans="1:7" x14ac:dyDescent="0.2">
      <c r="A7" t="s">
        <v>22</v>
      </c>
      <c r="B7" s="2" t="s">
        <v>24</v>
      </c>
      <c r="C7" s="1" t="s">
        <v>23</v>
      </c>
      <c r="D7">
        <v>550</v>
      </c>
      <c r="E7">
        <v>0</v>
      </c>
      <c r="F7">
        <v>899</v>
      </c>
    </row>
    <row r="8" spans="1:7" x14ac:dyDescent="0.2">
      <c r="A8" t="s">
        <v>25</v>
      </c>
      <c r="B8" s="2" t="s">
        <v>27</v>
      </c>
      <c r="C8" s="1" t="s">
        <v>26</v>
      </c>
      <c r="D8">
        <v>560</v>
      </c>
      <c r="E8">
        <v>0</v>
      </c>
      <c r="F8">
        <v>799</v>
      </c>
    </row>
    <row r="9" spans="1:7" x14ac:dyDescent="0.2">
      <c r="A9" t="s">
        <v>28</v>
      </c>
      <c r="B9" s="2" t="s">
        <v>30</v>
      </c>
      <c r="C9" s="1" t="s">
        <v>29</v>
      </c>
      <c r="D9">
        <v>2100</v>
      </c>
      <c r="E9">
        <v>0</v>
      </c>
      <c r="F9">
        <v>2399</v>
      </c>
    </row>
    <row r="10" spans="1:7" x14ac:dyDescent="0.2">
      <c r="A10" t="s">
        <v>31</v>
      </c>
      <c r="B10" s="2" t="s">
        <v>36</v>
      </c>
      <c r="C10" s="1" t="s">
        <v>32</v>
      </c>
      <c r="D10">
        <v>510</v>
      </c>
      <c r="E10">
        <v>0</v>
      </c>
      <c r="F10">
        <v>749</v>
      </c>
    </row>
    <row r="11" spans="1:7" x14ac:dyDescent="0.2">
      <c r="A11" t="s">
        <v>33</v>
      </c>
      <c r="B11" s="2" t="s">
        <v>35</v>
      </c>
      <c r="C11" s="1" t="s">
        <v>34</v>
      </c>
      <c r="D11">
        <v>510</v>
      </c>
      <c r="E11">
        <v>0</v>
      </c>
      <c r="F11">
        <v>749</v>
      </c>
    </row>
    <row r="12" spans="1:7" x14ac:dyDescent="0.2">
      <c r="A12" t="s">
        <v>37</v>
      </c>
      <c r="B12" s="2" t="s">
        <v>38</v>
      </c>
      <c r="C12" s="1" t="s">
        <v>135</v>
      </c>
      <c r="D12">
        <v>2300</v>
      </c>
      <c r="E12">
        <v>0</v>
      </c>
      <c r="F12">
        <v>2399</v>
      </c>
    </row>
    <row r="13" spans="1:7" x14ac:dyDescent="0.2">
      <c r="A13" t="s">
        <v>39</v>
      </c>
      <c r="B13" s="2" t="s">
        <v>44</v>
      </c>
      <c r="C13" s="1" t="s">
        <v>40</v>
      </c>
      <c r="D13">
        <v>430</v>
      </c>
      <c r="E13">
        <v>0</v>
      </c>
      <c r="F13">
        <v>599</v>
      </c>
    </row>
    <row r="14" spans="1:7" x14ac:dyDescent="0.2">
      <c r="A14" t="s">
        <v>41</v>
      </c>
      <c r="B14" s="2" t="s">
        <v>43</v>
      </c>
      <c r="C14" s="1" t="s">
        <v>42</v>
      </c>
      <c r="D14">
        <v>430</v>
      </c>
      <c r="E14">
        <v>0</v>
      </c>
      <c r="F14">
        <v>599</v>
      </c>
    </row>
    <row r="15" spans="1:7" x14ac:dyDescent="0.2">
      <c r="A15" t="s">
        <v>45</v>
      </c>
      <c r="B15" s="2" t="s">
        <v>47</v>
      </c>
      <c r="C15" s="1" t="s">
        <v>46</v>
      </c>
      <c r="D15">
        <v>430</v>
      </c>
      <c r="E15">
        <v>0</v>
      </c>
      <c r="F15">
        <v>599</v>
      </c>
    </row>
    <row r="16" spans="1:7" x14ac:dyDescent="0.2">
      <c r="A16" t="s">
        <v>48</v>
      </c>
      <c r="B16" s="2" t="s">
        <v>50</v>
      </c>
      <c r="C16" s="1" t="s">
        <v>49</v>
      </c>
      <c r="D16">
        <v>2150</v>
      </c>
      <c r="E16">
        <v>0</v>
      </c>
      <c r="F16">
        <v>2399</v>
      </c>
      <c r="G16" t="s">
        <v>154</v>
      </c>
    </row>
    <row r="17" spans="1:6" x14ac:dyDescent="0.2">
      <c r="A17" t="s">
        <v>51</v>
      </c>
      <c r="B17" s="2" t="s">
        <v>53</v>
      </c>
      <c r="C17" s="1" t="s">
        <v>52</v>
      </c>
      <c r="D17">
        <v>510</v>
      </c>
      <c r="E17">
        <v>0</v>
      </c>
      <c r="F17">
        <v>739</v>
      </c>
    </row>
    <row r="18" spans="1:6" x14ac:dyDescent="0.2">
      <c r="A18" t="s">
        <v>54</v>
      </c>
      <c r="B18" s="2" t="s">
        <v>56</v>
      </c>
      <c r="C18" s="1" t="s">
        <v>55</v>
      </c>
      <c r="D18">
        <v>2100</v>
      </c>
      <c r="E18">
        <v>0</v>
      </c>
      <c r="F18">
        <v>2399</v>
      </c>
    </row>
    <row r="19" spans="1:6" x14ac:dyDescent="0.2">
      <c r="A19" t="s">
        <v>58</v>
      </c>
      <c r="B19" s="2" t="s">
        <v>59</v>
      </c>
      <c r="C19" s="1" t="s">
        <v>57</v>
      </c>
      <c r="D19">
        <v>2100</v>
      </c>
      <c r="E19">
        <v>0</v>
      </c>
      <c r="F19">
        <v>2399</v>
      </c>
    </row>
    <row r="20" spans="1:6" x14ac:dyDescent="0.2">
      <c r="A20" t="s">
        <v>60</v>
      </c>
      <c r="B20" s="2" t="s">
        <v>62</v>
      </c>
      <c r="C20" s="1" t="s">
        <v>61</v>
      </c>
      <c r="D20">
        <v>710</v>
      </c>
      <c r="E20">
        <v>0</v>
      </c>
      <c r="F20">
        <v>959</v>
      </c>
    </row>
    <row r="21" spans="1:6" x14ac:dyDescent="0.2">
      <c r="A21" t="s">
        <v>63</v>
      </c>
      <c r="B21" s="2" t="s">
        <v>65</v>
      </c>
      <c r="C21" s="1" t="s">
        <v>64</v>
      </c>
      <c r="D21">
        <v>2600</v>
      </c>
      <c r="E21">
        <v>0</v>
      </c>
      <c r="F21">
        <v>2799</v>
      </c>
    </row>
    <row r="22" spans="1:6" x14ac:dyDescent="0.2">
      <c r="A22" t="s">
        <v>66</v>
      </c>
      <c r="B22" s="2" t="s">
        <v>68</v>
      </c>
      <c r="C22" s="1" t="s">
        <v>67</v>
      </c>
      <c r="D22">
        <v>790</v>
      </c>
      <c r="E22">
        <v>0</v>
      </c>
      <c r="F22">
        <v>999</v>
      </c>
    </row>
    <row r="23" spans="1:6" x14ac:dyDescent="0.2">
      <c r="A23" t="s">
        <v>69</v>
      </c>
      <c r="B23" s="2" t="s">
        <v>71</v>
      </c>
      <c r="C23" s="1" t="s">
        <v>70</v>
      </c>
      <c r="D23">
        <v>475</v>
      </c>
      <c r="E23">
        <v>0</v>
      </c>
      <c r="F23">
        <v>499</v>
      </c>
    </row>
    <row r="24" spans="1:6" x14ac:dyDescent="0.2">
      <c r="A24" t="s">
        <v>72</v>
      </c>
      <c r="B24" s="2" t="s">
        <v>74</v>
      </c>
      <c r="C24" s="1" t="s">
        <v>73</v>
      </c>
      <c r="D24">
        <v>900</v>
      </c>
      <c r="E24">
        <v>0</v>
      </c>
      <c r="F24">
        <v>999</v>
      </c>
    </row>
    <row r="25" spans="1:6" x14ac:dyDescent="0.2">
      <c r="A25" t="s">
        <v>75</v>
      </c>
      <c r="B25" s="2" t="s">
        <v>79</v>
      </c>
      <c r="C25" s="1" t="s">
        <v>76</v>
      </c>
      <c r="D25">
        <v>490</v>
      </c>
      <c r="E25">
        <v>0</v>
      </c>
      <c r="F25">
        <v>659</v>
      </c>
    </row>
    <row r="26" spans="1:6" x14ac:dyDescent="0.2">
      <c r="A26" t="s">
        <v>77</v>
      </c>
      <c r="B26" s="2" t="s">
        <v>80</v>
      </c>
      <c r="C26" s="1" t="s">
        <v>78</v>
      </c>
      <c r="D26">
        <v>490</v>
      </c>
      <c r="E26">
        <v>0</v>
      </c>
      <c r="F26">
        <v>659</v>
      </c>
    </row>
    <row r="27" spans="1:6" x14ac:dyDescent="0.2">
      <c r="A27" t="s">
        <v>82</v>
      </c>
      <c r="B27" s="2" t="s">
        <v>83</v>
      </c>
      <c r="C27" s="1" t="s">
        <v>81</v>
      </c>
      <c r="D27">
        <v>2100</v>
      </c>
      <c r="E27">
        <v>0</v>
      </c>
      <c r="F27">
        <v>2399</v>
      </c>
    </row>
    <row r="28" spans="1:6" x14ac:dyDescent="0.2">
      <c r="A28" t="s">
        <v>84</v>
      </c>
      <c r="B28" s="2" t="s">
        <v>86</v>
      </c>
      <c r="C28" s="1" t="s">
        <v>85</v>
      </c>
      <c r="D28">
        <v>410</v>
      </c>
      <c r="E28">
        <v>0</v>
      </c>
      <c r="F28">
        <v>499</v>
      </c>
    </row>
    <row r="29" spans="1:6" x14ac:dyDescent="0.2">
      <c r="A29" t="s">
        <v>87</v>
      </c>
      <c r="B29" s="2" t="s">
        <v>89</v>
      </c>
      <c r="C29" s="1" t="s">
        <v>88</v>
      </c>
      <c r="D29">
        <v>420</v>
      </c>
      <c r="E29">
        <v>0</v>
      </c>
      <c r="F29">
        <v>659</v>
      </c>
    </row>
    <row r="30" spans="1:6" x14ac:dyDescent="0.2">
      <c r="A30" t="s">
        <v>90</v>
      </c>
      <c r="B30" s="2" t="s">
        <v>92</v>
      </c>
      <c r="C30" s="1" t="s">
        <v>91</v>
      </c>
      <c r="D30">
        <v>510</v>
      </c>
      <c r="E30">
        <v>0</v>
      </c>
      <c r="F30">
        <v>799</v>
      </c>
    </row>
    <row r="31" spans="1:6" x14ac:dyDescent="0.2">
      <c r="A31" t="s">
        <v>93</v>
      </c>
      <c r="B31" s="2" t="s">
        <v>95</v>
      </c>
      <c r="C31" s="1" t="s">
        <v>94</v>
      </c>
      <c r="D31">
        <v>410</v>
      </c>
      <c r="E31">
        <v>0</v>
      </c>
      <c r="F31">
        <v>639</v>
      </c>
    </row>
    <row r="32" spans="1:6" x14ac:dyDescent="0.2">
      <c r="A32" t="s">
        <v>96</v>
      </c>
      <c r="B32" s="2" t="s">
        <v>97</v>
      </c>
      <c r="C32" s="1" t="s">
        <v>98</v>
      </c>
      <c r="D32">
        <v>410</v>
      </c>
      <c r="E32">
        <v>0</v>
      </c>
      <c r="F32">
        <v>629</v>
      </c>
    </row>
    <row r="33" spans="1:6" x14ac:dyDescent="0.2">
      <c r="A33" t="s">
        <v>99</v>
      </c>
      <c r="B33" s="2" t="s">
        <v>101</v>
      </c>
      <c r="C33" s="1" t="s">
        <v>100</v>
      </c>
      <c r="D33">
        <v>450</v>
      </c>
      <c r="E33">
        <v>0</v>
      </c>
      <c r="F33">
        <v>529</v>
      </c>
    </row>
    <row r="34" spans="1:6" x14ac:dyDescent="0.2">
      <c r="A34" t="s">
        <v>102</v>
      </c>
      <c r="B34" s="2" t="s">
        <v>104</v>
      </c>
      <c r="C34" s="1" t="s">
        <v>103</v>
      </c>
      <c r="D34">
        <v>660</v>
      </c>
      <c r="E34">
        <v>0</v>
      </c>
    </row>
    <row r="35" spans="1:6" x14ac:dyDescent="0.2">
      <c r="A35" t="s">
        <v>105</v>
      </c>
      <c r="B35" s="2" t="s">
        <v>106</v>
      </c>
      <c r="C35" s="1" t="s">
        <v>110</v>
      </c>
      <c r="D35">
        <v>480</v>
      </c>
      <c r="E35">
        <v>0</v>
      </c>
      <c r="F35">
        <v>619</v>
      </c>
    </row>
    <row r="36" spans="1:6" x14ac:dyDescent="0.2">
      <c r="A36" t="s">
        <v>109</v>
      </c>
      <c r="B36" s="2" t="s">
        <v>107</v>
      </c>
      <c r="C36" s="1" t="s">
        <v>108</v>
      </c>
      <c r="D36">
        <v>450</v>
      </c>
      <c r="E36">
        <v>0</v>
      </c>
      <c r="F36">
        <v>616</v>
      </c>
    </row>
    <row r="37" spans="1:6" x14ac:dyDescent="0.2">
      <c r="A37" t="s">
        <v>111</v>
      </c>
      <c r="B37" s="2" t="s">
        <v>113</v>
      </c>
      <c r="C37" s="1" t="s">
        <v>112</v>
      </c>
      <c r="D37">
        <v>485</v>
      </c>
      <c r="E37">
        <v>0</v>
      </c>
      <c r="F37">
        <v>729</v>
      </c>
    </row>
    <row r="38" spans="1:6" x14ac:dyDescent="0.2">
      <c r="A38" t="s">
        <v>115</v>
      </c>
      <c r="B38" s="2" t="s">
        <v>116</v>
      </c>
      <c r="C38" s="1" t="s">
        <v>114</v>
      </c>
      <c r="D38">
        <v>2200</v>
      </c>
      <c r="E38">
        <v>1</v>
      </c>
    </row>
    <row r="39" spans="1:6" x14ac:dyDescent="0.2">
      <c r="A39" t="s">
        <v>117</v>
      </c>
      <c r="B39" s="2" t="s">
        <v>119</v>
      </c>
      <c r="C39" s="1" t="s">
        <v>118</v>
      </c>
      <c r="D39">
        <v>400</v>
      </c>
      <c r="E39">
        <v>0</v>
      </c>
      <c r="F39">
        <v>629</v>
      </c>
    </row>
    <row r="40" spans="1:6" x14ac:dyDescent="0.2">
      <c r="A40" t="s">
        <v>120</v>
      </c>
      <c r="B40" s="2" t="s">
        <v>121</v>
      </c>
      <c r="C40" s="1" t="s">
        <v>122</v>
      </c>
      <c r="D40">
        <v>400</v>
      </c>
      <c r="E40">
        <v>0</v>
      </c>
    </row>
    <row r="41" spans="1:6" x14ac:dyDescent="0.2">
      <c r="A41" t="s">
        <v>123</v>
      </c>
      <c r="B41" s="2" t="s">
        <v>125</v>
      </c>
      <c r="C41" s="1" t="s">
        <v>124</v>
      </c>
      <c r="D41">
        <v>560</v>
      </c>
      <c r="E41">
        <v>0</v>
      </c>
      <c r="F41">
        <v>799</v>
      </c>
    </row>
    <row r="42" spans="1:6" x14ac:dyDescent="0.2">
      <c r="A42" t="s">
        <v>126</v>
      </c>
      <c r="B42" s="2" t="s">
        <v>128</v>
      </c>
      <c r="C42" s="1" t="s">
        <v>127</v>
      </c>
      <c r="D42">
        <v>400</v>
      </c>
      <c r="E42">
        <v>0</v>
      </c>
    </row>
    <row r="43" spans="1:6" x14ac:dyDescent="0.2">
      <c r="A43" t="s">
        <v>132</v>
      </c>
      <c r="B43" s="2" t="s">
        <v>129</v>
      </c>
      <c r="C43" s="1" t="s">
        <v>131</v>
      </c>
      <c r="D43">
        <v>400</v>
      </c>
      <c r="E43">
        <v>0</v>
      </c>
    </row>
    <row r="44" spans="1:6" x14ac:dyDescent="0.2">
      <c r="A44" t="s">
        <v>130</v>
      </c>
      <c r="B44" s="2" t="s">
        <v>133</v>
      </c>
      <c r="C44" s="1" t="s">
        <v>134</v>
      </c>
      <c r="D44">
        <v>450</v>
      </c>
      <c r="E44">
        <v>0</v>
      </c>
    </row>
    <row r="45" spans="1:6" x14ac:dyDescent="0.2">
      <c r="A45" t="s">
        <v>137</v>
      </c>
      <c r="B45" s="2" t="s">
        <v>153</v>
      </c>
      <c r="C45" s="1" t="s">
        <v>138</v>
      </c>
      <c r="D45">
        <v>2500</v>
      </c>
      <c r="E45">
        <v>0</v>
      </c>
      <c r="F45">
        <v>2699</v>
      </c>
    </row>
    <row r="46" spans="1:6" x14ac:dyDescent="0.2">
      <c r="A46" t="s">
        <v>140</v>
      </c>
      <c r="B46" s="2" t="s">
        <v>312</v>
      </c>
      <c r="C46" s="1" t="s">
        <v>139</v>
      </c>
      <c r="D46">
        <v>530</v>
      </c>
      <c r="E46">
        <v>0</v>
      </c>
      <c r="F46">
        <v>599</v>
      </c>
    </row>
    <row r="47" spans="1:6" x14ac:dyDescent="0.2">
      <c r="A47" t="s">
        <v>141</v>
      </c>
      <c r="B47" s="2" t="s">
        <v>142</v>
      </c>
      <c r="C47" s="1" t="s">
        <v>143</v>
      </c>
      <c r="D47">
        <v>529</v>
      </c>
      <c r="E47">
        <v>0</v>
      </c>
      <c r="F47">
        <v>586</v>
      </c>
    </row>
    <row r="48" spans="1:6" x14ac:dyDescent="0.2">
      <c r="A48" t="s">
        <v>145</v>
      </c>
      <c r="B48" s="2" t="s">
        <v>144</v>
      </c>
      <c r="C48" s="1" t="s">
        <v>147</v>
      </c>
      <c r="D48">
        <v>569</v>
      </c>
      <c r="E48">
        <v>0</v>
      </c>
      <c r="F48">
        <v>598</v>
      </c>
    </row>
    <row r="49" spans="1:6" x14ac:dyDescent="0.2">
      <c r="A49" t="s">
        <v>148</v>
      </c>
      <c r="B49" s="2" t="s">
        <v>149</v>
      </c>
      <c r="C49" s="1" t="s">
        <v>146</v>
      </c>
      <c r="D49">
        <v>713</v>
      </c>
      <c r="E49">
        <v>0</v>
      </c>
      <c r="F49">
        <v>939</v>
      </c>
    </row>
    <row r="50" spans="1:6" x14ac:dyDescent="0.2">
      <c r="A50" t="s">
        <v>150</v>
      </c>
      <c r="B50" s="2" t="s">
        <v>152</v>
      </c>
      <c r="C50" s="1" t="s">
        <v>151</v>
      </c>
      <c r="D50">
        <v>480</v>
      </c>
      <c r="E50">
        <v>0</v>
      </c>
      <c r="F50">
        <v>630</v>
      </c>
    </row>
    <row r="51" spans="1:6" x14ac:dyDescent="0.2">
      <c r="A51" t="s">
        <v>156</v>
      </c>
      <c r="B51" s="2" t="s">
        <v>157</v>
      </c>
      <c r="C51" s="1" t="s">
        <v>155</v>
      </c>
      <c r="D51">
        <f>SUMIF(Sheet2!A:A, B51, Sheet2!G:G)</f>
        <v>338</v>
      </c>
      <c r="E51">
        <v>0</v>
      </c>
      <c r="F51">
        <v>380</v>
      </c>
    </row>
    <row r="52" spans="1:6" x14ac:dyDescent="0.2">
      <c r="A52" t="s">
        <v>158</v>
      </c>
      <c r="B52" s="3">
        <v>9902299877732</v>
      </c>
      <c r="C52" s="1" t="s">
        <v>159</v>
      </c>
      <c r="D52">
        <f>SUMIF(Sheet2!A:A, B52, Sheet2!G:G)</f>
        <v>470</v>
      </c>
      <c r="E52">
        <v>0</v>
      </c>
      <c r="F52">
        <v>599</v>
      </c>
    </row>
    <row r="53" spans="1:6" x14ac:dyDescent="0.2">
      <c r="A53" t="s">
        <v>160</v>
      </c>
      <c r="B53" s="3">
        <v>9902299877756</v>
      </c>
      <c r="C53" s="1" t="s">
        <v>161</v>
      </c>
      <c r="D53">
        <f>SUMIF(Sheet2!A:A, B53, Sheet2!G:G)</f>
        <v>470</v>
      </c>
      <c r="E53">
        <v>0</v>
      </c>
      <c r="F53">
        <v>599</v>
      </c>
    </row>
    <row r="54" spans="1:6" x14ac:dyDescent="0.2">
      <c r="A54" t="s">
        <v>162</v>
      </c>
      <c r="B54" s="3">
        <v>9902299877749</v>
      </c>
      <c r="C54" s="1" t="s">
        <v>163</v>
      </c>
      <c r="D54">
        <f>SUMIF(Sheet2!A:A, B54, Sheet2!G:G)</f>
        <v>470</v>
      </c>
      <c r="E54">
        <v>0</v>
      </c>
      <c r="F54">
        <v>599</v>
      </c>
    </row>
    <row r="55" spans="1:6" x14ac:dyDescent="0.2">
      <c r="A55" t="s">
        <v>179</v>
      </c>
      <c r="B55" s="2" t="s">
        <v>181</v>
      </c>
      <c r="C55" s="1" t="s">
        <v>185</v>
      </c>
      <c r="D55">
        <f>SUMIF(Sheet2!A:A, B55, Sheet2!G:G)</f>
        <v>334</v>
      </c>
      <c r="E55">
        <v>0</v>
      </c>
      <c r="F55">
        <v>399</v>
      </c>
    </row>
    <row r="56" spans="1:6" x14ac:dyDescent="0.2">
      <c r="A56" t="s">
        <v>184</v>
      </c>
      <c r="B56" s="2" t="s">
        <v>180</v>
      </c>
      <c r="C56" s="1" t="s">
        <v>186</v>
      </c>
      <c r="D56">
        <f>SUMIF(Sheet2!A:A, B56, Sheet2!G:G)</f>
        <v>325</v>
      </c>
      <c r="E56">
        <v>0</v>
      </c>
      <c r="F56">
        <v>439</v>
      </c>
    </row>
  </sheetData>
  <autoFilter ref="E1:E45" xr:uid="{00000000-0001-0000-0000-000000000000}"/>
  <phoneticPr fontId="1" type="noConversion"/>
  <conditionalFormatting sqref="B2:B1048576">
    <cfRule type="duplicateValues" dxfId="5" priority="1"/>
  </conditionalFormatting>
  <hyperlinks>
    <hyperlink ref="C2" r:id="rId1" xr:uid="{6E28CEEE-81F3-4EEB-86B4-B665604708D5}"/>
    <hyperlink ref="C3" r:id="rId2" xr:uid="{CC00D427-E355-4ED7-9B77-E02D5FF37534}"/>
    <hyperlink ref="C4" r:id="rId3" xr:uid="{49BA7E77-889B-48E0-B503-0E98A1135AA1}"/>
    <hyperlink ref="C5" r:id="rId4" xr:uid="{18F56B56-8DCE-4ACB-B0CE-6623F87CDBAF}"/>
    <hyperlink ref="C6" r:id="rId5" xr:uid="{72C5360E-ACE0-4397-94E3-5E9C9A981011}"/>
    <hyperlink ref="C7" r:id="rId6" xr:uid="{16DD42B2-189D-4D5A-85C7-E7EA7C807978}"/>
    <hyperlink ref="C8" r:id="rId7" xr:uid="{09D8D114-1C55-4826-8DE8-333F744E7929}"/>
    <hyperlink ref="C9" r:id="rId8" xr:uid="{F637B6D8-CF1D-4419-B740-7D154DC884DF}"/>
    <hyperlink ref="C10" r:id="rId9" xr:uid="{77011F5C-D462-4DBA-A9A1-BBF42ECAA4D9}"/>
    <hyperlink ref="C11" r:id="rId10" xr:uid="{641507F0-B6EA-47D3-9E18-3ECC0DB26868}"/>
    <hyperlink ref="C13" r:id="rId11" xr:uid="{ED357F8A-493E-4988-A4A7-50079C531383}"/>
    <hyperlink ref="C14" r:id="rId12" xr:uid="{4D4FB41B-45F8-493D-8F0D-D12DA400F8A5}"/>
    <hyperlink ref="C15" r:id="rId13" xr:uid="{E9A80E34-00DE-4139-8010-CAD87E017725}"/>
    <hyperlink ref="C16" r:id="rId14" xr:uid="{2012F397-5DC8-4345-B835-457DE150ACFA}"/>
    <hyperlink ref="C17" r:id="rId15" xr:uid="{23B752B4-E234-4D91-BF74-35FDEF7D707F}"/>
    <hyperlink ref="C18" r:id="rId16" xr:uid="{44F7C5D4-2780-4336-A1B9-3C9CF5D1665A}"/>
    <hyperlink ref="C19" r:id="rId17" xr:uid="{16C0808E-BB98-4ED0-B30E-D2090058DBD0}"/>
    <hyperlink ref="C20" r:id="rId18" xr:uid="{5AD4A471-9C53-4C83-BF2F-51C5437FB8D5}"/>
    <hyperlink ref="C21" r:id="rId19" xr:uid="{62439EDA-C921-469B-937B-CC731B595721}"/>
    <hyperlink ref="C22" r:id="rId20" xr:uid="{9C25B3A2-53F9-4625-9FA7-139E150746BC}"/>
    <hyperlink ref="C23" r:id="rId21" xr:uid="{0CB1E9A7-9074-458E-8713-901E846EFA2A}"/>
    <hyperlink ref="C24" r:id="rId22" xr:uid="{73D0712B-8FEE-4B57-8CC4-EB0F39AABCA4}"/>
    <hyperlink ref="C25" r:id="rId23" xr:uid="{6C1AA83E-9E9A-40CB-ABC9-8D2EA8F82842}"/>
    <hyperlink ref="C26" r:id="rId24" xr:uid="{C7F0952E-3A18-4B28-8D8D-3E6ED851C6FE}"/>
    <hyperlink ref="C27" r:id="rId25" xr:uid="{8DCE88EE-43E6-4AEE-92B9-534E1DB932AB}"/>
    <hyperlink ref="C28" r:id="rId26" xr:uid="{EDF903EA-45EB-49F3-985E-0265ADE3FB9C}"/>
    <hyperlink ref="C29" r:id="rId27" xr:uid="{D329BC7C-CC5A-4DD2-AC44-5AF9F982A390}"/>
    <hyperlink ref="C30" r:id="rId28" xr:uid="{B261362C-301E-44A1-8107-6A4AF29B96F7}"/>
    <hyperlink ref="C31" r:id="rId29" xr:uid="{9981F477-D073-490C-A974-90C4A3074A16}"/>
    <hyperlink ref="C32" r:id="rId30" xr:uid="{5BF7F0D7-0032-4E2C-A83A-AAFB3994333D}"/>
    <hyperlink ref="C33" r:id="rId31" xr:uid="{6B1E160D-B321-4D2C-B98B-14B9B2DAF839}"/>
    <hyperlink ref="C34" r:id="rId32" xr:uid="{437D6F1B-6379-41B2-9275-553A2968D0EB}"/>
    <hyperlink ref="C36" r:id="rId33" xr:uid="{10B840DC-B1F4-4ED2-9B14-4564E28FAC10}"/>
    <hyperlink ref="C35" r:id="rId34" xr:uid="{B10E877D-5FEA-463C-B45F-1B225D5AA65E}"/>
    <hyperlink ref="C37" r:id="rId35" xr:uid="{C5461986-26DE-49AA-AA8F-8CD5225B7014}"/>
    <hyperlink ref="C38" r:id="rId36" xr:uid="{EB50F2C9-85EE-423D-9A93-38D023830155}"/>
    <hyperlink ref="C39" r:id="rId37" xr:uid="{E094A9AD-2811-4EFF-A797-12966BF5BD86}"/>
    <hyperlink ref="C40" r:id="rId38" xr:uid="{1B77F4C3-235B-4F00-BA44-7D10002B9B73}"/>
    <hyperlink ref="C41" r:id="rId39" xr:uid="{E8DC0600-8B96-4BF0-9907-B590F343C774}"/>
    <hyperlink ref="C42" r:id="rId40" xr:uid="{8BB9A056-D5ED-4D88-96AA-2FC4FD34FDC1}"/>
    <hyperlink ref="C43" r:id="rId41" xr:uid="{69191941-31C8-4ED5-ACB8-7908CFB60AA0}"/>
    <hyperlink ref="C44" r:id="rId42" xr:uid="{96EB242D-ACD0-4664-BE8A-FE55B0743F7B}"/>
    <hyperlink ref="C12" r:id="rId43" xr:uid="{A8820CBF-9098-439D-B6AB-5F59A923C9D0}"/>
    <hyperlink ref="C45" r:id="rId44" xr:uid="{CEE6A8F6-019C-41D6-A75F-BB304C60603E}"/>
    <hyperlink ref="C46" r:id="rId45" xr:uid="{0F76BDB2-9A8C-423F-AAAD-E8F6626319BC}"/>
    <hyperlink ref="C47" r:id="rId46" xr:uid="{A11CDDA4-EB95-4293-8556-8775CF597D96}"/>
    <hyperlink ref="C49" r:id="rId47" xr:uid="{92F30F88-4989-407F-A9FE-98AF1A4C5CFC}"/>
    <hyperlink ref="C48" r:id="rId48" xr:uid="{F1055E0F-7F4D-47A7-A176-EBBF56FDEDC1}"/>
    <hyperlink ref="C50" r:id="rId49" xr:uid="{A4152AB3-6719-49EB-8147-FBE6AAA0580D}"/>
    <hyperlink ref="C51" r:id="rId50" xr:uid="{17644D9D-2DED-41D5-8EB2-6048D4D586F0}"/>
    <hyperlink ref="C52" r:id="rId51" xr:uid="{CD0DE8F7-0602-42A9-A1F2-65BA2D117A81}"/>
    <hyperlink ref="C53" r:id="rId52" xr:uid="{8650636E-AD94-4F8A-8498-41A0BA5AF77C}"/>
    <hyperlink ref="C54" r:id="rId53" xr:uid="{E2AF89C3-F6F0-4DB8-BB12-0CE1E6AA6A50}"/>
    <hyperlink ref="C55" r:id="rId54" xr:uid="{5594B40E-512A-4A5E-B964-7B9AC9F1D025}"/>
    <hyperlink ref="C56" r:id="rId55" xr:uid="{C7852183-2C79-4E6C-B5A7-DB6E8061BB8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8ED0-E88A-4086-9783-8FDAF7E989E3}">
  <dimension ref="A1:O394"/>
  <sheetViews>
    <sheetView workbookViewId="0">
      <pane ySplit="1" topLeftCell="A53" activePane="bottomLeft" state="frozen"/>
      <selection pane="bottomLeft" activeCell="Q70" sqref="Q70"/>
    </sheetView>
  </sheetViews>
  <sheetFormatPr defaultRowHeight="14.25" x14ac:dyDescent="0.2"/>
  <cols>
    <col min="1" max="1" width="25" style="14" customWidth="1"/>
    <col min="2" max="2" width="13.125" customWidth="1"/>
    <col min="3" max="6" width="0" hidden="1" customWidth="1"/>
    <col min="8" max="11" width="0" hidden="1" customWidth="1"/>
    <col min="15" max="15" width="0" hidden="1" customWidth="1"/>
    <col min="21" max="21" width="9" customWidth="1"/>
  </cols>
  <sheetData>
    <row r="1" spans="1:15" ht="31.5" x14ac:dyDescent="0.2">
      <c r="A1" s="13" t="s">
        <v>164</v>
      </c>
      <c r="B1" s="9" t="s">
        <v>165</v>
      </c>
      <c r="C1" s="10" t="s">
        <v>166</v>
      </c>
      <c r="D1" s="11" t="s">
        <v>167</v>
      </c>
      <c r="E1" s="11" t="s">
        <v>168</v>
      </c>
      <c r="F1" s="11" t="s">
        <v>169</v>
      </c>
      <c r="G1" s="8" t="s">
        <v>170</v>
      </c>
      <c r="H1" s="12" t="s">
        <v>171</v>
      </c>
      <c r="I1" s="12" t="s">
        <v>172</v>
      </c>
      <c r="J1" s="12" t="s">
        <v>173</v>
      </c>
      <c r="K1" s="12" t="s">
        <v>174</v>
      </c>
      <c r="L1" s="12" t="s">
        <v>175</v>
      </c>
      <c r="M1" s="12" t="s">
        <v>176</v>
      </c>
      <c r="N1" s="12" t="s">
        <v>177</v>
      </c>
      <c r="O1" s="12" t="s">
        <v>178</v>
      </c>
    </row>
    <row r="2" spans="1:15" ht="15.75" x14ac:dyDescent="0.2">
      <c r="A2" s="14" t="s">
        <v>12</v>
      </c>
      <c r="B2" s="2">
        <v>102443856</v>
      </c>
      <c r="C2" s="4">
        <f>ROUND((H2+N2+M2)*2.54,2)</f>
        <v>705.64</v>
      </c>
      <c r="D2" s="4">
        <v>80</v>
      </c>
      <c r="E2" s="6">
        <v>0.15</v>
      </c>
      <c r="F2" s="6">
        <v>0.1</v>
      </c>
      <c r="G2" s="5">
        <f>ROUND((C2+D2)/(1-F2*(1+E2)-5%),0)</f>
        <v>941</v>
      </c>
      <c r="H2" s="4">
        <f>I2+J2+K2</f>
        <v>65.811999999999998</v>
      </c>
      <c r="I2">
        <f>L2*79+10</f>
        <v>62.14</v>
      </c>
      <c r="J2" s="4">
        <f>O2*7.2*0.3</f>
        <v>2.16</v>
      </c>
      <c r="K2" s="4">
        <f>(O2*1.1*7.2+J2)*0.15</f>
        <v>1.5120000000000002</v>
      </c>
      <c r="L2" s="4">
        <v>0.66</v>
      </c>
      <c r="M2" s="7">
        <v>182</v>
      </c>
      <c r="N2" s="4">
        <v>30</v>
      </c>
      <c r="O2" s="4">
        <v>1</v>
      </c>
    </row>
    <row r="3" spans="1:15" ht="15.75" x14ac:dyDescent="0.2">
      <c r="A3" s="14" t="s">
        <v>11</v>
      </c>
      <c r="B3" s="2">
        <v>102445504</v>
      </c>
      <c r="C3" s="4">
        <f t="shared" ref="C3:C32" si="0">ROUND((H3+N3+M3)*2.54,2)</f>
        <v>609.12</v>
      </c>
      <c r="D3" s="4">
        <v>80</v>
      </c>
      <c r="E3" s="6">
        <v>0.15</v>
      </c>
      <c r="F3" s="6">
        <v>0.1</v>
      </c>
      <c r="G3" s="5">
        <f t="shared" ref="G3:G32" si="1">ROUND((C3+D3)/(1-F3*(1+E3)-5%),0)</f>
        <v>825</v>
      </c>
      <c r="H3" s="4">
        <f t="shared" ref="H3:H32" si="2">I3+J3+K3</f>
        <v>65.811999999999998</v>
      </c>
      <c r="I3">
        <f t="shared" ref="I3:I32" si="3">L3*79+10</f>
        <v>62.14</v>
      </c>
      <c r="J3" s="4">
        <f t="shared" ref="J3:J32" si="4">O3*7.2*0.3</f>
        <v>2.16</v>
      </c>
      <c r="K3" s="4">
        <f t="shared" ref="K3:K32" si="5">(O3*1.1*7.2+J3)*0.15</f>
        <v>1.5120000000000002</v>
      </c>
      <c r="L3" s="4">
        <v>0.66</v>
      </c>
      <c r="M3" s="7">
        <v>144</v>
      </c>
      <c r="N3" s="4">
        <v>30</v>
      </c>
      <c r="O3" s="4">
        <v>1</v>
      </c>
    </row>
    <row r="4" spans="1:15" ht="15.75" x14ac:dyDescent="0.2">
      <c r="A4" s="14" t="s">
        <v>14</v>
      </c>
      <c r="B4" s="2">
        <v>102078544</v>
      </c>
      <c r="C4" s="4">
        <f t="shared" si="0"/>
        <v>328.45</v>
      </c>
      <c r="D4" s="4">
        <v>80</v>
      </c>
      <c r="E4" s="6">
        <v>0.15</v>
      </c>
      <c r="F4" s="6">
        <v>0.1</v>
      </c>
      <c r="G4" s="5">
        <f t="shared" si="1"/>
        <v>489</v>
      </c>
      <c r="H4" s="4">
        <f t="shared" si="2"/>
        <v>26.312000000000001</v>
      </c>
      <c r="I4">
        <f t="shared" si="3"/>
        <v>22.64</v>
      </c>
      <c r="J4" s="4">
        <f t="shared" si="4"/>
        <v>2.16</v>
      </c>
      <c r="K4" s="4">
        <f t="shared" si="5"/>
        <v>1.5120000000000002</v>
      </c>
      <c r="L4" s="4">
        <v>0.16</v>
      </c>
      <c r="M4" s="7">
        <v>73</v>
      </c>
      <c r="N4" s="4">
        <v>30</v>
      </c>
      <c r="O4" s="4">
        <v>1</v>
      </c>
    </row>
    <row r="5" spans="1:15" ht="15.75" x14ac:dyDescent="0.2">
      <c r="A5" s="15" t="s">
        <v>18</v>
      </c>
      <c r="B5" s="2">
        <v>102117796</v>
      </c>
      <c r="C5" s="4">
        <f t="shared" si="0"/>
        <v>129.11000000000001</v>
      </c>
      <c r="D5" s="4">
        <v>80</v>
      </c>
      <c r="E5" s="6">
        <v>0.15</v>
      </c>
      <c r="F5" s="6">
        <v>0.1</v>
      </c>
      <c r="G5" s="5">
        <f t="shared" si="1"/>
        <v>250</v>
      </c>
      <c r="H5" s="4">
        <f t="shared" si="2"/>
        <v>16.832000000000001</v>
      </c>
      <c r="I5">
        <f t="shared" si="3"/>
        <v>13.16</v>
      </c>
      <c r="J5" s="4">
        <f t="shared" si="4"/>
        <v>2.16</v>
      </c>
      <c r="K5" s="4">
        <f t="shared" si="5"/>
        <v>1.5120000000000002</v>
      </c>
      <c r="L5" s="4">
        <v>0.04</v>
      </c>
      <c r="M5" s="7">
        <v>19</v>
      </c>
      <c r="N5" s="4">
        <v>15</v>
      </c>
      <c r="O5" s="4">
        <v>1</v>
      </c>
    </row>
    <row r="6" spans="1:15" ht="15.75" x14ac:dyDescent="0.2">
      <c r="A6" s="14" t="s">
        <v>21</v>
      </c>
      <c r="B6" s="2">
        <v>102200523</v>
      </c>
      <c r="C6" s="4">
        <f t="shared" si="0"/>
        <v>138.21</v>
      </c>
      <c r="D6" s="4">
        <v>80</v>
      </c>
      <c r="E6" s="6">
        <v>0.15</v>
      </c>
      <c r="F6" s="6">
        <v>0.1</v>
      </c>
      <c r="G6" s="5">
        <f t="shared" si="1"/>
        <v>261</v>
      </c>
      <c r="H6" s="4">
        <f t="shared" si="2"/>
        <v>18.411999999999999</v>
      </c>
      <c r="I6">
        <f t="shared" si="3"/>
        <v>14.74</v>
      </c>
      <c r="J6" s="4">
        <f t="shared" si="4"/>
        <v>2.16</v>
      </c>
      <c r="K6" s="4">
        <f t="shared" si="5"/>
        <v>1.5120000000000002</v>
      </c>
      <c r="L6" s="4">
        <v>0.06</v>
      </c>
      <c r="M6" s="7">
        <v>21</v>
      </c>
      <c r="N6" s="4">
        <v>15</v>
      </c>
      <c r="O6" s="4">
        <v>1</v>
      </c>
    </row>
    <row r="7" spans="1:15" ht="15.75" x14ac:dyDescent="0.2">
      <c r="A7" s="14" t="s">
        <v>24</v>
      </c>
      <c r="B7" s="2">
        <v>102646828</v>
      </c>
      <c r="C7" s="4">
        <f t="shared" si="0"/>
        <v>442.9</v>
      </c>
      <c r="D7" s="4">
        <v>80</v>
      </c>
      <c r="E7" s="6">
        <v>0.15</v>
      </c>
      <c r="F7" s="6">
        <v>0.1</v>
      </c>
      <c r="G7" s="5">
        <f t="shared" si="1"/>
        <v>626</v>
      </c>
      <c r="H7" s="4">
        <f t="shared" si="2"/>
        <v>37.372</v>
      </c>
      <c r="I7">
        <f t="shared" si="3"/>
        <v>33.700000000000003</v>
      </c>
      <c r="J7" s="4">
        <f t="shared" si="4"/>
        <v>2.16</v>
      </c>
      <c r="K7" s="4">
        <f t="shared" si="5"/>
        <v>1.5120000000000002</v>
      </c>
      <c r="L7" s="4">
        <v>0.3</v>
      </c>
      <c r="M7" s="7">
        <v>107</v>
      </c>
      <c r="N7" s="4">
        <v>30</v>
      </c>
      <c r="O7" s="4">
        <v>1</v>
      </c>
    </row>
    <row r="8" spans="1:15" ht="15.75" x14ac:dyDescent="0.2">
      <c r="A8" s="14" t="s">
        <v>27</v>
      </c>
      <c r="B8" s="2">
        <v>102645475</v>
      </c>
      <c r="C8" s="4">
        <f t="shared" si="0"/>
        <v>459.47</v>
      </c>
      <c r="D8" s="4">
        <v>80</v>
      </c>
      <c r="E8" s="6">
        <v>0.15</v>
      </c>
      <c r="F8" s="6">
        <v>0.1</v>
      </c>
      <c r="G8" s="5">
        <f t="shared" si="1"/>
        <v>646</v>
      </c>
      <c r="H8" s="4">
        <f t="shared" si="2"/>
        <v>27.891999999999999</v>
      </c>
      <c r="I8">
        <f t="shared" si="3"/>
        <v>24.22</v>
      </c>
      <c r="J8" s="4">
        <f t="shared" si="4"/>
        <v>2.16</v>
      </c>
      <c r="K8" s="4">
        <f t="shared" si="5"/>
        <v>1.5120000000000002</v>
      </c>
      <c r="L8" s="4">
        <v>0.18</v>
      </c>
      <c r="M8" s="7">
        <v>123</v>
      </c>
      <c r="N8" s="4">
        <v>30</v>
      </c>
      <c r="O8" s="4">
        <v>1</v>
      </c>
    </row>
    <row r="9" spans="1:15" ht="15.75" x14ac:dyDescent="0.2">
      <c r="A9" s="14" t="s">
        <v>30</v>
      </c>
      <c r="B9" s="2">
        <v>102628280</v>
      </c>
      <c r="C9" s="4">
        <f t="shared" si="0"/>
        <v>1629.97</v>
      </c>
      <c r="D9" s="4">
        <v>80</v>
      </c>
      <c r="E9" s="6">
        <v>0.15</v>
      </c>
      <c r="F9" s="6">
        <v>0.1</v>
      </c>
      <c r="G9" s="5">
        <f t="shared" si="1"/>
        <v>2048</v>
      </c>
      <c r="H9" s="4">
        <f t="shared" si="2"/>
        <v>88.721999999999994</v>
      </c>
      <c r="I9">
        <f t="shared" si="3"/>
        <v>85.05</v>
      </c>
      <c r="J9" s="4">
        <f t="shared" si="4"/>
        <v>2.16</v>
      </c>
      <c r="K9" s="4">
        <f t="shared" si="5"/>
        <v>1.5120000000000002</v>
      </c>
      <c r="L9" s="4">
        <v>0.95</v>
      </c>
      <c r="M9" s="7">
        <v>523</v>
      </c>
      <c r="N9" s="4">
        <v>30</v>
      </c>
      <c r="O9" s="4">
        <v>1</v>
      </c>
    </row>
    <row r="10" spans="1:15" ht="15.75" x14ac:dyDescent="0.2">
      <c r="A10" s="14" t="s">
        <v>36</v>
      </c>
      <c r="B10" s="2">
        <v>102627230</v>
      </c>
      <c r="C10" s="4">
        <f t="shared" si="0"/>
        <v>409.07</v>
      </c>
      <c r="D10" s="4">
        <v>80</v>
      </c>
      <c r="E10" s="6">
        <v>0.15</v>
      </c>
      <c r="F10" s="6">
        <v>0.1</v>
      </c>
      <c r="G10" s="5">
        <f t="shared" si="1"/>
        <v>586</v>
      </c>
      <c r="H10" s="4">
        <f t="shared" si="2"/>
        <v>31.052</v>
      </c>
      <c r="I10">
        <f t="shared" si="3"/>
        <v>27.38</v>
      </c>
      <c r="J10" s="4">
        <f t="shared" si="4"/>
        <v>2.16</v>
      </c>
      <c r="K10" s="4">
        <f t="shared" si="5"/>
        <v>1.5120000000000002</v>
      </c>
      <c r="L10" s="4">
        <v>0.22</v>
      </c>
      <c r="M10" s="7">
        <v>100</v>
      </c>
      <c r="N10" s="4">
        <v>30</v>
      </c>
      <c r="O10" s="4">
        <v>1</v>
      </c>
    </row>
    <row r="11" spans="1:15" ht="15.75" x14ac:dyDescent="0.2">
      <c r="A11" s="14" t="s">
        <v>35</v>
      </c>
      <c r="B11" s="2">
        <v>102627231</v>
      </c>
      <c r="C11" s="4">
        <f t="shared" si="0"/>
        <v>409.07</v>
      </c>
      <c r="D11" s="4">
        <v>80</v>
      </c>
      <c r="E11" s="6">
        <v>0.15</v>
      </c>
      <c r="F11" s="6">
        <v>0.1</v>
      </c>
      <c r="G11" s="5">
        <f t="shared" si="1"/>
        <v>586</v>
      </c>
      <c r="H11" s="4">
        <f t="shared" si="2"/>
        <v>31.052</v>
      </c>
      <c r="I11">
        <f t="shared" si="3"/>
        <v>27.38</v>
      </c>
      <c r="J11" s="4">
        <f t="shared" si="4"/>
        <v>2.16</v>
      </c>
      <c r="K11" s="4">
        <f t="shared" si="5"/>
        <v>1.5120000000000002</v>
      </c>
      <c r="L11" s="4">
        <v>0.22</v>
      </c>
      <c r="M11" s="7">
        <v>100</v>
      </c>
      <c r="N11" s="4">
        <v>30</v>
      </c>
      <c r="O11" s="4">
        <v>1</v>
      </c>
    </row>
    <row r="12" spans="1:15" ht="15.75" x14ac:dyDescent="0.2">
      <c r="A12" s="14" t="s">
        <v>38</v>
      </c>
      <c r="B12" s="2">
        <v>102521734</v>
      </c>
      <c r="C12" s="4">
        <f t="shared" si="0"/>
        <v>251.39</v>
      </c>
      <c r="D12" s="4">
        <v>80</v>
      </c>
      <c r="E12" s="6">
        <v>0.15</v>
      </c>
      <c r="F12" s="6">
        <v>0.1</v>
      </c>
      <c r="G12" s="5">
        <f t="shared" si="1"/>
        <v>397</v>
      </c>
      <c r="H12" s="4">
        <f t="shared" si="2"/>
        <v>68.971999999999994</v>
      </c>
      <c r="I12">
        <f t="shared" si="3"/>
        <v>65.3</v>
      </c>
      <c r="J12" s="4">
        <f t="shared" si="4"/>
        <v>2.16</v>
      </c>
      <c r="K12" s="4">
        <f t="shared" si="5"/>
        <v>1.5120000000000002</v>
      </c>
      <c r="L12" s="4">
        <v>0.7</v>
      </c>
      <c r="M12" s="7"/>
      <c r="N12" s="4">
        <v>30</v>
      </c>
      <c r="O12" s="4">
        <v>1</v>
      </c>
    </row>
    <row r="13" spans="1:15" ht="15.75" x14ac:dyDescent="0.2">
      <c r="A13" s="14" t="s">
        <v>44</v>
      </c>
      <c r="B13" s="2">
        <v>102514447</v>
      </c>
      <c r="C13" s="4">
        <f t="shared" si="0"/>
        <v>411.92</v>
      </c>
      <c r="D13" s="4">
        <v>80</v>
      </c>
      <c r="E13" s="6">
        <v>0.15</v>
      </c>
      <c r="F13" s="6">
        <v>0.1</v>
      </c>
      <c r="G13" s="5">
        <f t="shared" si="1"/>
        <v>589</v>
      </c>
      <c r="H13" s="4">
        <f t="shared" si="2"/>
        <v>132.172</v>
      </c>
      <c r="I13">
        <f t="shared" si="3"/>
        <v>128.5</v>
      </c>
      <c r="J13" s="4">
        <f t="shared" si="4"/>
        <v>2.16</v>
      </c>
      <c r="K13" s="4">
        <f t="shared" si="5"/>
        <v>1.5120000000000002</v>
      </c>
      <c r="L13" s="4">
        <v>1.5</v>
      </c>
      <c r="M13" s="7"/>
      <c r="N13" s="4">
        <v>30</v>
      </c>
      <c r="O13" s="4">
        <v>1</v>
      </c>
    </row>
    <row r="14" spans="1:15" ht="15.75" x14ac:dyDescent="0.2">
      <c r="A14" s="14" t="s">
        <v>43</v>
      </c>
      <c r="B14" s="2">
        <v>102441514</v>
      </c>
      <c r="C14" s="4">
        <f t="shared" si="0"/>
        <v>411.92</v>
      </c>
      <c r="D14" s="4">
        <v>80</v>
      </c>
      <c r="E14" s="6">
        <v>0.15</v>
      </c>
      <c r="F14" s="6">
        <v>0.1</v>
      </c>
      <c r="G14" s="5">
        <f t="shared" si="1"/>
        <v>589</v>
      </c>
      <c r="H14" s="4">
        <f t="shared" si="2"/>
        <v>132.172</v>
      </c>
      <c r="I14">
        <f t="shared" si="3"/>
        <v>128.5</v>
      </c>
      <c r="J14" s="4">
        <f t="shared" si="4"/>
        <v>2.16</v>
      </c>
      <c r="K14" s="4">
        <f t="shared" si="5"/>
        <v>1.5120000000000002</v>
      </c>
      <c r="L14" s="4">
        <v>1.5</v>
      </c>
      <c r="M14" s="7"/>
      <c r="N14" s="4">
        <v>30</v>
      </c>
      <c r="O14" s="4">
        <v>1</v>
      </c>
    </row>
    <row r="15" spans="1:15" ht="15.75" x14ac:dyDescent="0.2">
      <c r="A15" s="14" t="s">
        <v>47</v>
      </c>
      <c r="B15" s="2">
        <v>102313681</v>
      </c>
      <c r="C15" s="4">
        <f t="shared" si="0"/>
        <v>411.92</v>
      </c>
      <c r="D15" s="4">
        <v>80</v>
      </c>
      <c r="E15" s="6">
        <v>0.15</v>
      </c>
      <c r="F15" s="6">
        <v>0.1</v>
      </c>
      <c r="G15" s="5">
        <f t="shared" si="1"/>
        <v>589</v>
      </c>
      <c r="H15" s="4">
        <f t="shared" si="2"/>
        <v>132.172</v>
      </c>
      <c r="I15">
        <f t="shared" si="3"/>
        <v>128.5</v>
      </c>
      <c r="J15" s="4">
        <f t="shared" si="4"/>
        <v>2.16</v>
      </c>
      <c r="K15" s="4">
        <f t="shared" si="5"/>
        <v>1.5120000000000002</v>
      </c>
      <c r="L15" s="4">
        <v>1.5</v>
      </c>
      <c r="M15" s="7"/>
      <c r="N15" s="4">
        <v>30</v>
      </c>
      <c r="O15" s="4">
        <v>1</v>
      </c>
    </row>
    <row r="16" spans="1:15" ht="15.75" x14ac:dyDescent="0.2">
      <c r="A16" s="14" t="s">
        <v>50</v>
      </c>
      <c r="B16" s="2">
        <v>102466820</v>
      </c>
      <c r="C16" s="4">
        <f t="shared" si="0"/>
        <v>151.06</v>
      </c>
      <c r="D16" s="4">
        <v>80</v>
      </c>
      <c r="E16" s="6">
        <v>0.15</v>
      </c>
      <c r="F16" s="6">
        <v>0.1</v>
      </c>
      <c r="G16" s="5">
        <f t="shared" si="1"/>
        <v>277</v>
      </c>
      <c r="H16" s="4">
        <f t="shared" si="2"/>
        <v>29.472000000000001</v>
      </c>
      <c r="I16">
        <f t="shared" si="3"/>
        <v>25.8</v>
      </c>
      <c r="J16" s="4">
        <f t="shared" si="4"/>
        <v>2.16</v>
      </c>
      <c r="K16" s="4">
        <f t="shared" si="5"/>
        <v>1.5120000000000002</v>
      </c>
      <c r="L16" s="4">
        <v>0.2</v>
      </c>
      <c r="M16" s="7"/>
      <c r="N16" s="4">
        <v>30</v>
      </c>
      <c r="O16" s="4">
        <v>1</v>
      </c>
    </row>
    <row r="17" spans="1:15" ht="15.75" x14ac:dyDescent="0.2">
      <c r="A17" s="14" t="s">
        <v>314</v>
      </c>
      <c r="B17" s="2">
        <v>102466814</v>
      </c>
      <c r="C17" s="4">
        <f t="shared" si="0"/>
        <v>143.03</v>
      </c>
      <c r="D17" s="4">
        <v>80</v>
      </c>
      <c r="E17" s="6">
        <v>0.15</v>
      </c>
      <c r="F17" s="6">
        <v>0.1</v>
      </c>
      <c r="G17" s="5">
        <f t="shared" si="1"/>
        <v>267</v>
      </c>
      <c r="H17" s="4">
        <f t="shared" si="2"/>
        <v>26.312000000000001</v>
      </c>
      <c r="I17">
        <f t="shared" si="3"/>
        <v>22.64</v>
      </c>
      <c r="J17" s="4">
        <f t="shared" si="4"/>
        <v>2.16</v>
      </c>
      <c r="K17" s="4">
        <f t="shared" si="5"/>
        <v>1.5120000000000002</v>
      </c>
      <c r="L17" s="4">
        <v>0.16</v>
      </c>
      <c r="M17" s="7"/>
      <c r="N17" s="4">
        <v>30</v>
      </c>
      <c r="O17" s="4">
        <v>1</v>
      </c>
    </row>
    <row r="18" spans="1:15" ht="15.75" x14ac:dyDescent="0.2">
      <c r="A18" s="14" t="s">
        <v>56</v>
      </c>
      <c r="B18" s="2">
        <v>102445665</v>
      </c>
      <c r="C18" s="4">
        <f t="shared" si="0"/>
        <v>181.16</v>
      </c>
      <c r="D18" s="4">
        <v>80</v>
      </c>
      <c r="E18" s="6">
        <v>0.15</v>
      </c>
      <c r="F18" s="6">
        <v>0.1</v>
      </c>
      <c r="G18" s="5">
        <f t="shared" si="1"/>
        <v>313</v>
      </c>
      <c r="H18" s="4">
        <f t="shared" si="2"/>
        <v>41.322000000000003</v>
      </c>
      <c r="I18">
        <f t="shared" si="3"/>
        <v>37.65</v>
      </c>
      <c r="J18" s="4">
        <f t="shared" si="4"/>
        <v>2.16</v>
      </c>
      <c r="K18" s="4">
        <f t="shared" si="5"/>
        <v>1.5120000000000002</v>
      </c>
      <c r="L18" s="4">
        <v>0.35</v>
      </c>
      <c r="M18" s="7"/>
      <c r="N18" s="4">
        <v>30</v>
      </c>
      <c r="O18" s="4">
        <v>1</v>
      </c>
    </row>
    <row r="19" spans="1:15" ht="15.75" x14ac:dyDescent="0.2">
      <c r="A19" s="14" t="s">
        <v>59</v>
      </c>
      <c r="B19" s="2">
        <v>102407642</v>
      </c>
      <c r="C19" s="4">
        <f t="shared" si="0"/>
        <v>243.36</v>
      </c>
      <c r="D19" s="4">
        <v>80</v>
      </c>
      <c r="E19" s="6">
        <v>0.15</v>
      </c>
      <c r="F19" s="6">
        <v>0.1</v>
      </c>
      <c r="G19" s="5">
        <f t="shared" si="1"/>
        <v>387</v>
      </c>
      <c r="H19" s="4">
        <f t="shared" si="2"/>
        <v>65.811999999999998</v>
      </c>
      <c r="I19">
        <f t="shared" si="3"/>
        <v>62.14</v>
      </c>
      <c r="J19" s="4">
        <f t="shared" si="4"/>
        <v>2.16</v>
      </c>
      <c r="K19" s="4">
        <f t="shared" si="5"/>
        <v>1.5120000000000002</v>
      </c>
      <c r="L19" s="4">
        <v>0.66</v>
      </c>
      <c r="M19" s="7"/>
      <c r="N19" s="4">
        <v>30</v>
      </c>
      <c r="O19" s="4">
        <v>1</v>
      </c>
    </row>
    <row r="20" spans="1:15" ht="15.75" x14ac:dyDescent="0.2">
      <c r="A20" s="14" t="s">
        <v>62</v>
      </c>
      <c r="B20" s="2">
        <v>102407640</v>
      </c>
      <c r="C20" s="4">
        <f t="shared" si="0"/>
        <v>191.19</v>
      </c>
      <c r="D20" s="4">
        <v>80</v>
      </c>
      <c r="E20" s="6">
        <v>0.15</v>
      </c>
      <c r="F20" s="6">
        <v>0.1</v>
      </c>
      <c r="G20" s="5">
        <f t="shared" si="1"/>
        <v>325</v>
      </c>
      <c r="H20" s="4">
        <f t="shared" si="2"/>
        <v>45.272000000000006</v>
      </c>
      <c r="I20">
        <f t="shared" si="3"/>
        <v>41.6</v>
      </c>
      <c r="J20" s="4">
        <f t="shared" si="4"/>
        <v>2.16</v>
      </c>
      <c r="K20" s="4">
        <f t="shared" si="5"/>
        <v>1.5120000000000002</v>
      </c>
      <c r="L20" s="4">
        <v>0.4</v>
      </c>
      <c r="M20" s="7"/>
      <c r="N20" s="4">
        <v>30</v>
      </c>
      <c r="O20" s="4">
        <v>1</v>
      </c>
    </row>
    <row r="21" spans="1:15" ht="15.75" x14ac:dyDescent="0.2">
      <c r="A21" s="14" t="s">
        <v>65</v>
      </c>
      <c r="B21" s="2">
        <v>102403598</v>
      </c>
      <c r="C21" s="4">
        <f t="shared" si="0"/>
        <v>110.93</v>
      </c>
      <c r="D21" s="4">
        <v>80</v>
      </c>
      <c r="E21" s="6">
        <v>0.15</v>
      </c>
      <c r="F21" s="6">
        <v>0.1</v>
      </c>
      <c r="G21" s="5">
        <f t="shared" si="1"/>
        <v>229</v>
      </c>
      <c r="H21" s="4">
        <f t="shared" si="2"/>
        <v>13.672000000000001</v>
      </c>
      <c r="I21">
        <f t="shared" si="3"/>
        <v>10</v>
      </c>
      <c r="J21" s="4">
        <f t="shared" si="4"/>
        <v>2.16</v>
      </c>
      <c r="K21" s="4">
        <f t="shared" si="5"/>
        <v>1.5120000000000002</v>
      </c>
      <c r="L21" s="4"/>
      <c r="M21" s="7"/>
      <c r="N21" s="4">
        <v>30</v>
      </c>
      <c r="O21" s="4">
        <v>1</v>
      </c>
    </row>
    <row r="22" spans="1:15" ht="15.75" x14ac:dyDescent="0.2">
      <c r="A22" s="14" t="s">
        <v>68</v>
      </c>
      <c r="B22" s="2">
        <v>102402320</v>
      </c>
      <c r="C22" s="4">
        <f t="shared" si="0"/>
        <v>579.80999999999995</v>
      </c>
      <c r="D22" s="4">
        <v>80</v>
      </c>
      <c r="E22" s="6">
        <v>0.15</v>
      </c>
      <c r="F22" s="6">
        <v>0.1</v>
      </c>
      <c r="G22" s="5">
        <f t="shared" si="1"/>
        <v>790</v>
      </c>
      <c r="H22" s="4">
        <f t="shared" si="2"/>
        <v>45.272000000000006</v>
      </c>
      <c r="I22">
        <f t="shared" si="3"/>
        <v>41.6</v>
      </c>
      <c r="J22" s="4">
        <f t="shared" si="4"/>
        <v>2.16</v>
      </c>
      <c r="K22" s="4">
        <f t="shared" si="5"/>
        <v>1.5120000000000002</v>
      </c>
      <c r="L22" s="4">
        <v>0.4</v>
      </c>
      <c r="M22" s="7">
        <v>153</v>
      </c>
      <c r="N22" s="4">
        <v>30</v>
      </c>
      <c r="O22" s="4">
        <v>1</v>
      </c>
    </row>
    <row r="23" spans="1:15" ht="15.75" x14ac:dyDescent="0.2">
      <c r="A23" s="14" t="s">
        <v>71</v>
      </c>
      <c r="B23" s="2">
        <v>102402988</v>
      </c>
      <c r="C23" s="4">
        <f t="shared" si="0"/>
        <v>110.93</v>
      </c>
      <c r="D23" s="4">
        <v>80</v>
      </c>
      <c r="E23" s="6">
        <v>0.15</v>
      </c>
      <c r="F23" s="6">
        <v>0.1</v>
      </c>
      <c r="G23" s="5">
        <f t="shared" si="1"/>
        <v>229</v>
      </c>
      <c r="H23" s="4">
        <f t="shared" si="2"/>
        <v>13.672000000000001</v>
      </c>
      <c r="I23">
        <f t="shared" si="3"/>
        <v>10</v>
      </c>
      <c r="J23" s="4">
        <f t="shared" si="4"/>
        <v>2.16</v>
      </c>
      <c r="K23" s="4">
        <f t="shared" si="5"/>
        <v>1.5120000000000002</v>
      </c>
      <c r="L23" s="4"/>
      <c r="M23" s="7"/>
      <c r="N23" s="4">
        <v>30</v>
      </c>
      <c r="O23" s="4">
        <v>1</v>
      </c>
    </row>
    <row r="24" spans="1:15" ht="15.75" x14ac:dyDescent="0.2">
      <c r="A24" s="14" t="s">
        <v>74</v>
      </c>
      <c r="B24" s="2">
        <v>102348144</v>
      </c>
      <c r="C24" s="4">
        <f t="shared" si="0"/>
        <v>110.93</v>
      </c>
      <c r="D24" s="4">
        <v>80</v>
      </c>
      <c r="E24" s="6">
        <v>0.15</v>
      </c>
      <c r="F24" s="6">
        <v>0.1</v>
      </c>
      <c r="G24" s="5">
        <f t="shared" si="1"/>
        <v>229</v>
      </c>
      <c r="H24" s="4">
        <f t="shared" si="2"/>
        <v>13.672000000000001</v>
      </c>
      <c r="I24">
        <f t="shared" si="3"/>
        <v>10</v>
      </c>
      <c r="J24" s="4">
        <f t="shared" si="4"/>
        <v>2.16</v>
      </c>
      <c r="K24" s="4">
        <f t="shared" si="5"/>
        <v>1.5120000000000002</v>
      </c>
      <c r="L24" s="4"/>
      <c r="M24" s="7"/>
      <c r="N24" s="4">
        <v>30</v>
      </c>
      <c r="O24" s="4">
        <v>1</v>
      </c>
    </row>
    <row r="25" spans="1:15" ht="15.75" x14ac:dyDescent="0.2">
      <c r="A25" s="14" t="s">
        <v>79</v>
      </c>
      <c r="B25" s="2">
        <v>102341879</v>
      </c>
      <c r="C25" s="4">
        <f t="shared" si="0"/>
        <v>151.06</v>
      </c>
      <c r="D25" s="4">
        <v>80</v>
      </c>
      <c r="E25" s="6">
        <v>0.15</v>
      </c>
      <c r="F25" s="6">
        <v>0.1</v>
      </c>
      <c r="G25" s="5">
        <f t="shared" si="1"/>
        <v>277</v>
      </c>
      <c r="H25" s="4">
        <f t="shared" si="2"/>
        <v>29.472000000000001</v>
      </c>
      <c r="I25">
        <f t="shared" si="3"/>
        <v>25.8</v>
      </c>
      <c r="J25" s="4">
        <f t="shared" si="4"/>
        <v>2.16</v>
      </c>
      <c r="K25" s="4">
        <f t="shared" si="5"/>
        <v>1.5120000000000002</v>
      </c>
      <c r="L25" s="4">
        <v>0.2</v>
      </c>
      <c r="M25" s="7"/>
      <c r="N25" s="4">
        <v>30</v>
      </c>
      <c r="O25" s="4">
        <v>1</v>
      </c>
    </row>
    <row r="26" spans="1:15" ht="15.75" x14ac:dyDescent="0.2">
      <c r="A26" s="14" t="s">
        <v>80</v>
      </c>
      <c r="B26" s="2">
        <v>102341881</v>
      </c>
      <c r="C26" s="4">
        <f t="shared" si="0"/>
        <v>151.06</v>
      </c>
      <c r="D26" s="4">
        <v>80</v>
      </c>
      <c r="E26" s="6">
        <v>0.15</v>
      </c>
      <c r="F26" s="6">
        <v>0.1</v>
      </c>
      <c r="G26" s="5">
        <f t="shared" si="1"/>
        <v>277</v>
      </c>
      <c r="H26" s="4">
        <f t="shared" si="2"/>
        <v>29.472000000000001</v>
      </c>
      <c r="I26">
        <f t="shared" si="3"/>
        <v>25.8</v>
      </c>
      <c r="J26" s="4">
        <f t="shared" si="4"/>
        <v>2.16</v>
      </c>
      <c r="K26" s="4">
        <f t="shared" si="5"/>
        <v>1.5120000000000002</v>
      </c>
      <c r="L26" s="4">
        <v>0.2</v>
      </c>
      <c r="M26" s="7"/>
      <c r="N26" s="4">
        <v>30</v>
      </c>
      <c r="O26" s="4">
        <v>1</v>
      </c>
    </row>
    <row r="27" spans="1:15" ht="15.75" x14ac:dyDescent="0.2">
      <c r="A27" s="14" t="s">
        <v>83</v>
      </c>
      <c r="B27" s="2">
        <v>102333879</v>
      </c>
      <c r="C27" s="4">
        <f t="shared" si="0"/>
        <v>181.16</v>
      </c>
      <c r="D27" s="4">
        <v>80</v>
      </c>
      <c r="E27" s="6">
        <v>0.15</v>
      </c>
      <c r="F27" s="6">
        <v>0.1</v>
      </c>
      <c r="G27" s="5">
        <f t="shared" si="1"/>
        <v>313</v>
      </c>
      <c r="H27" s="4">
        <f t="shared" si="2"/>
        <v>41.322000000000003</v>
      </c>
      <c r="I27">
        <f t="shared" si="3"/>
        <v>37.65</v>
      </c>
      <c r="J27" s="4">
        <f t="shared" si="4"/>
        <v>2.16</v>
      </c>
      <c r="K27" s="4">
        <f t="shared" si="5"/>
        <v>1.5120000000000002</v>
      </c>
      <c r="L27" s="4">
        <v>0.35</v>
      </c>
      <c r="M27" s="7"/>
      <c r="N27" s="4">
        <v>30</v>
      </c>
      <c r="O27" s="4">
        <v>1</v>
      </c>
    </row>
    <row r="28" spans="1:15" ht="15.75" x14ac:dyDescent="0.2">
      <c r="A28" s="14" t="s">
        <v>86</v>
      </c>
      <c r="B28" s="2">
        <v>102275586</v>
      </c>
      <c r="C28" s="4">
        <f t="shared" si="0"/>
        <v>110.93</v>
      </c>
      <c r="D28" s="4">
        <v>80</v>
      </c>
      <c r="E28" s="6">
        <v>0.15</v>
      </c>
      <c r="F28" s="6">
        <v>0.1</v>
      </c>
      <c r="G28" s="5">
        <f t="shared" si="1"/>
        <v>229</v>
      </c>
      <c r="H28" s="4">
        <f t="shared" si="2"/>
        <v>13.672000000000001</v>
      </c>
      <c r="I28">
        <f t="shared" si="3"/>
        <v>10</v>
      </c>
      <c r="J28" s="4">
        <f t="shared" si="4"/>
        <v>2.16</v>
      </c>
      <c r="K28" s="4">
        <f t="shared" si="5"/>
        <v>1.5120000000000002</v>
      </c>
      <c r="L28" s="4"/>
      <c r="M28" s="7"/>
      <c r="N28" s="4">
        <v>30</v>
      </c>
      <c r="O28" s="4">
        <v>1</v>
      </c>
    </row>
    <row r="29" spans="1:15" ht="15.75" x14ac:dyDescent="0.2">
      <c r="A29" s="14" t="s">
        <v>89</v>
      </c>
      <c r="B29" s="2">
        <v>102260736</v>
      </c>
      <c r="C29" s="4">
        <f t="shared" si="0"/>
        <v>143.03</v>
      </c>
      <c r="D29" s="4">
        <v>80</v>
      </c>
      <c r="E29" s="6">
        <v>0.15</v>
      </c>
      <c r="F29" s="6">
        <v>0.1</v>
      </c>
      <c r="G29" s="5">
        <f t="shared" si="1"/>
        <v>267</v>
      </c>
      <c r="H29" s="4">
        <f t="shared" si="2"/>
        <v>26.312000000000001</v>
      </c>
      <c r="I29">
        <f t="shared" si="3"/>
        <v>22.64</v>
      </c>
      <c r="J29" s="4">
        <f t="shared" si="4"/>
        <v>2.16</v>
      </c>
      <c r="K29" s="4">
        <f t="shared" si="5"/>
        <v>1.5120000000000002</v>
      </c>
      <c r="L29" s="4">
        <v>0.16</v>
      </c>
      <c r="M29" s="7"/>
      <c r="N29" s="4">
        <v>30</v>
      </c>
      <c r="O29" s="4">
        <v>1</v>
      </c>
    </row>
    <row r="30" spans="1:15" ht="15.75" x14ac:dyDescent="0.2">
      <c r="A30" s="14" t="s">
        <v>92</v>
      </c>
      <c r="B30" s="2">
        <v>102260659</v>
      </c>
      <c r="C30" s="4">
        <f t="shared" si="0"/>
        <v>171.12</v>
      </c>
      <c r="D30" s="4">
        <v>80</v>
      </c>
      <c r="E30" s="6">
        <v>0.15</v>
      </c>
      <c r="F30" s="6">
        <v>0.1</v>
      </c>
      <c r="G30" s="5">
        <f t="shared" si="1"/>
        <v>301</v>
      </c>
      <c r="H30" s="4">
        <f t="shared" si="2"/>
        <v>37.372</v>
      </c>
      <c r="I30">
        <f t="shared" si="3"/>
        <v>33.700000000000003</v>
      </c>
      <c r="J30" s="4">
        <f t="shared" si="4"/>
        <v>2.16</v>
      </c>
      <c r="K30" s="4">
        <f t="shared" si="5"/>
        <v>1.5120000000000002</v>
      </c>
      <c r="L30" s="4">
        <v>0.3</v>
      </c>
      <c r="M30" s="7"/>
      <c r="N30" s="4">
        <v>30</v>
      </c>
      <c r="O30" s="4">
        <v>1</v>
      </c>
    </row>
    <row r="31" spans="1:15" ht="15.75" x14ac:dyDescent="0.2">
      <c r="A31" s="14" t="s">
        <v>95</v>
      </c>
      <c r="B31" s="2">
        <v>102260604</v>
      </c>
      <c r="C31" s="4">
        <f t="shared" si="0"/>
        <v>157.08000000000001</v>
      </c>
      <c r="D31" s="4">
        <v>80</v>
      </c>
      <c r="E31" s="6">
        <v>0.15</v>
      </c>
      <c r="F31" s="6">
        <v>0.1</v>
      </c>
      <c r="G31" s="5">
        <f t="shared" si="1"/>
        <v>284</v>
      </c>
      <c r="H31" s="4">
        <f t="shared" si="2"/>
        <v>31.842000000000002</v>
      </c>
      <c r="I31">
        <f t="shared" si="3"/>
        <v>28.17</v>
      </c>
      <c r="J31" s="4">
        <f t="shared" si="4"/>
        <v>2.16</v>
      </c>
      <c r="K31" s="4">
        <f t="shared" si="5"/>
        <v>1.5120000000000002</v>
      </c>
      <c r="L31" s="4">
        <v>0.23</v>
      </c>
      <c r="M31" s="7"/>
      <c r="N31" s="4">
        <v>30</v>
      </c>
      <c r="O31" s="4">
        <v>1</v>
      </c>
    </row>
    <row r="32" spans="1:15" ht="15.75" x14ac:dyDescent="0.2">
      <c r="A32" s="14" t="s">
        <v>97</v>
      </c>
      <c r="B32" s="2">
        <v>102260155</v>
      </c>
      <c r="C32" s="4">
        <f t="shared" si="0"/>
        <v>143.03</v>
      </c>
      <c r="D32" s="4">
        <v>80</v>
      </c>
      <c r="E32" s="6">
        <v>0.15</v>
      </c>
      <c r="F32" s="6">
        <v>0.1</v>
      </c>
      <c r="G32" s="5">
        <f t="shared" si="1"/>
        <v>267</v>
      </c>
      <c r="H32" s="4">
        <f t="shared" si="2"/>
        <v>26.312000000000001</v>
      </c>
      <c r="I32">
        <f t="shared" si="3"/>
        <v>22.64</v>
      </c>
      <c r="J32" s="4">
        <f t="shared" si="4"/>
        <v>2.16</v>
      </c>
      <c r="K32" s="4">
        <f t="shared" si="5"/>
        <v>1.5120000000000002</v>
      </c>
      <c r="L32" s="4">
        <v>0.16</v>
      </c>
      <c r="M32" s="7"/>
      <c r="N32" s="4">
        <v>30</v>
      </c>
      <c r="O32" s="4">
        <v>1</v>
      </c>
    </row>
    <row r="33" spans="1:15" ht="15.75" x14ac:dyDescent="0.2">
      <c r="A33" s="14" t="s">
        <v>101</v>
      </c>
      <c r="B33" s="2">
        <v>102170905</v>
      </c>
      <c r="C33" s="4">
        <f t="shared" ref="C33:C50" si="6">ROUND((H33+N33+M33)*2.54,2)</f>
        <v>110.93</v>
      </c>
      <c r="D33" s="4">
        <v>80</v>
      </c>
      <c r="E33" s="6">
        <v>0.15</v>
      </c>
      <c r="F33" s="6">
        <v>0.1</v>
      </c>
      <c r="G33" s="5">
        <f t="shared" ref="G33:G50" si="7">ROUND((C33+D33)/(1-F33*(1+E33)-5%),0)</f>
        <v>229</v>
      </c>
      <c r="H33" s="4">
        <f t="shared" ref="H33:H50" si="8">I33+J33+K33</f>
        <v>13.672000000000001</v>
      </c>
      <c r="I33">
        <f t="shared" ref="I33:I50" si="9">L33*79+10</f>
        <v>10</v>
      </c>
      <c r="J33" s="4">
        <f t="shared" ref="J33:J50" si="10">O33*7.2*0.3</f>
        <v>2.16</v>
      </c>
      <c r="K33" s="4">
        <f t="shared" ref="K33:K50" si="11">(O33*1.1*7.2+J33)*0.15</f>
        <v>1.5120000000000002</v>
      </c>
      <c r="L33" s="4"/>
      <c r="M33" s="7"/>
      <c r="N33" s="4">
        <v>30</v>
      </c>
      <c r="O33" s="4">
        <v>1</v>
      </c>
    </row>
    <row r="34" spans="1:15" ht="15.75" x14ac:dyDescent="0.2">
      <c r="A34" s="14" t="s">
        <v>104</v>
      </c>
      <c r="B34" s="2">
        <v>102103370</v>
      </c>
      <c r="C34" s="4">
        <f t="shared" si="6"/>
        <v>110.93</v>
      </c>
      <c r="D34" s="4">
        <v>80</v>
      </c>
      <c r="E34" s="6">
        <v>0.15</v>
      </c>
      <c r="F34" s="6">
        <v>0.1</v>
      </c>
      <c r="G34" s="5">
        <f t="shared" si="7"/>
        <v>229</v>
      </c>
      <c r="H34" s="4">
        <f t="shared" si="8"/>
        <v>13.672000000000001</v>
      </c>
      <c r="I34">
        <f t="shared" si="9"/>
        <v>10</v>
      </c>
      <c r="J34" s="4">
        <f t="shared" si="10"/>
        <v>2.16</v>
      </c>
      <c r="K34" s="4">
        <f t="shared" si="11"/>
        <v>1.5120000000000002</v>
      </c>
      <c r="L34" s="4"/>
      <c r="M34" s="7"/>
      <c r="N34" s="4">
        <v>30</v>
      </c>
      <c r="O34" s="4">
        <v>1</v>
      </c>
    </row>
    <row r="35" spans="1:15" ht="15.75" x14ac:dyDescent="0.2">
      <c r="A35" s="14" t="s">
        <v>106</v>
      </c>
      <c r="B35" s="2">
        <v>102103098</v>
      </c>
      <c r="C35" s="4">
        <f t="shared" si="6"/>
        <v>191.19</v>
      </c>
      <c r="D35" s="4">
        <v>80</v>
      </c>
      <c r="E35" s="6">
        <v>0.15</v>
      </c>
      <c r="F35" s="6">
        <v>0.1</v>
      </c>
      <c r="G35" s="5">
        <f t="shared" si="7"/>
        <v>325</v>
      </c>
      <c r="H35" s="4">
        <f t="shared" si="8"/>
        <v>45.272000000000006</v>
      </c>
      <c r="I35">
        <f t="shared" si="9"/>
        <v>41.6</v>
      </c>
      <c r="J35" s="4">
        <f t="shared" si="10"/>
        <v>2.16</v>
      </c>
      <c r="K35" s="4">
        <f t="shared" si="11"/>
        <v>1.5120000000000002</v>
      </c>
      <c r="L35" s="4">
        <v>0.4</v>
      </c>
      <c r="M35" s="7"/>
      <c r="N35" s="4">
        <v>30</v>
      </c>
      <c r="O35" s="4">
        <v>1</v>
      </c>
    </row>
    <row r="36" spans="1:15" ht="15.75" x14ac:dyDescent="0.2">
      <c r="A36" s="14" t="s">
        <v>107</v>
      </c>
      <c r="B36" s="2">
        <v>102408847</v>
      </c>
      <c r="C36" s="4">
        <f t="shared" si="6"/>
        <v>191.19</v>
      </c>
      <c r="D36" s="4">
        <v>80</v>
      </c>
      <c r="E36" s="6">
        <v>0.15</v>
      </c>
      <c r="F36" s="6">
        <v>0.1</v>
      </c>
      <c r="G36" s="5">
        <f t="shared" si="7"/>
        <v>325</v>
      </c>
      <c r="H36" s="4">
        <f t="shared" si="8"/>
        <v>45.272000000000006</v>
      </c>
      <c r="I36">
        <f t="shared" si="9"/>
        <v>41.6</v>
      </c>
      <c r="J36" s="4">
        <f t="shared" si="10"/>
        <v>2.16</v>
      </c>
      <c r="K36" s="4">
        <f t="shared" si="11"/>
        <v>1.5120000000000002</v>
      </c>
      <c r="L36" s="4">
        <v>0.4</v>
      </c>
      <c r="M36" s="7"/>
      <c r="N36" s="4">
        <v>30</v>
      </c>
      <c r="O36" s="4">
        <v>1</v>
      </c>
    </row>
    <row r="37" spans="1:15" ht="15.75" x14ac:dyDescent="0.2">
      <c r="A37" s="14" t="s">
        <v>113</v>
      </c>
      <c r="B37" s="2">
        <v>102081354</v>
      </c>
      <c r="C37" s="4">
        <f t="shared" si="6"/>
        <v>143.03</v>
      </c>
      <c r="D37" s="4">
        <v>80</v>
      </c>
      <c r="E37" s="6">
        <v>0.15</v>
      </c>
      <c r="F37" s="6">
        <v>0.1</v>
      </c>
      <c r="G37" s="5">
        <f t="shared" si="7"/>
        <v>267</v>
      </c>
      <c r="H37" s="4">
        <f t="shared" si="8"/>
        <v>26.312000000000001</v>
      </c>
      <c r="I37">
        <f t="shared" si="9"/>
        <v>22.64</v>
      </c>
      <c r="J37" s="4">
        <f t="shared" si="10"/>
        <v>2.16</v>
      </c>
      <c r="K37" s="4">
        <f t="shared" si="11"/>
        <v>1.5120000000000002</v>
      </c>
      <c r="L37" s="4">
        <v>0.16</v>
      </c>
      <c r="M37" s="7"/>
      <c r="N37" s="4">
        <v>30</v>
      </c>
      <c r="O37" s="4">
        <v>1</v>
      </c>
    </row>
    <row r="38" spans="1:15" ht="15.75" x14ac:dyDescent="0.2">
      <c r="A38" s="14" t="s">
        <v>116</v>
      </c>
      <c r="B38" s="2">
        <v>102081352</v>
      </c>
      <c r="C38" s="4">
        <f t="shared" si="6"/>
        <v>181.16</v>
      </c>
      <c r="D38" s="4">
        <v>80</v>
      </c>
      <c r="E38" s="6">
        <v>0.15</v>
      </c>
      <c r="F38" s="6">
        <v>0.1</v>
      </c>
      <c r="G38" s="5">
        <f t="shared" si="7"/>
        <v>313</v>
      </c>
      <c r="H38" s="4">
        <f t="shared" si="8"/>
        <v>41.322000000000003</v>
      </c>
      <c r="I38">
        <f t="shared" si="9"/>
        <v>37.65</v>
      </c>
      <c r="J38" s="4">
        <f t="shared" si="10"/>
        <v>2.16</v>
      </c>
      <c r="K38" s="4">
        <f t="shared" si="11"/>
        <v>1.5120000000000002</v>
      </c>
      <c r="L38" s="4">
        <v>0.35</v>
      </c>
      <c r="M38" s="7"/>
      <c r="N38" s="4">
        <v>30</v>
      </c>
      <c r="O38" s="4">
        <v>1</v>
      </c>
    </row>
    <row r="39" spans="1:15" ht="15.75" x14ac:dyDescent="0.2">
      <c r="A39" s="14" t="s">
        <v>119</v>
      </c>
      <c r="B39" s="2">
        <v>102081276</v>
      </c>
      <c r="C39" s="4">
        <f t="shared" si="6"/>
        <v>143.03</v>
      </c>
      <c r="D39" s="4">
        <v>80</v>
      </c>
      <c r="E39" s="6">
        <v>0.15</v>
      </c>
      <c r="F39" s="6">
        <v>0.1</v>
      </c>
      <c r="G39" s="5">
        <f t="shared" si="7"/>
        <v>267</v>
      </c>
      <c r="H39" s="4">
        <f t="shared" si="8"/>
        <v>26.312000000000001</v>
      </c>
      <c r="I39">
        <f t="shared" si="9"/>
        <v>22.64</v>
      </c>
      <c r="J39" s="4">
        <f t="shared" si="10"/>
        <v>2.16</v>
      </c>
      <c r="K39" s="4">
        <f t="shared" si="11"/>
        <v>1.5120000000000002</v>
      </c>
      <c r="L39" s="4">
        <v>0.16</v>
      </c>
      <c r="M39" s="7"/>
      <c r="N39" s="4">
        <v>30</v>
      </c>
      <c r="O39" s="4">
        <v>1</v>
      </c>
    </row>
    <row r="40" spans="1:15" ht="15.75" x14ac:dyDescent="0.2">
      <c r="A40" s="14" t="s">
        <v>121</v>
      </c>
      <c r="B40" s="2">
        <v>102078927</v>
      </c>
      <c r="C40" s="4">
        <f t="shared" si="6"/>
        <v>143.03</v>
      </c>
      <c r="D40" s="4">
        <v>80</v>
      </c>
      <c r="E40" s="6">
        <v>0.15</v>
      </c>
      <c r="F40" s="6">
        <v>0.1</v>
      </c>
      <c r="G40" s="5">
        <f t="shared" si="7"/>
        <v>267</v>
      </c>
      <c r="H40" s="4">
        <f t="shared" si="8"/>
        <v>26.312000000000001</v>
      </c>
      <c r="I40">
        <f t="shared" si="9"/>
        <v>22.64</v>
      </c>
      <c r="J40" s="4">
        <f t="shared" si="10"/>
        <v>2.16</v>
      </c>
      <c r="K40" s="4">
        <f t="shared" si="11"/>
        <v>1.5120000000000002</v>
      </c>
      <c r="L40" s="4">
        <v>0.16</v>
      </c>
      <c r="M40" s="7"/>
      <c r="N40" s="4">
        <v>30</v>
      </c>
      <c r="O40" s="4">
        <v>1</v>
      </c>
    </row>
    <row r="41" spans="1:15" ht="15.75" x14ac:dyDescent="0.2">
      <c r="A41" s="14" t="s">
        <v>125</v>
      </c>
      <c r="B41" s="2">
        <v>102078095</v>
      </c>
      <c r="C41" s="4">
        <f t="shared" si="6"/>
        <v>191.19</v>
      </c>
      <c r="D41" s="4">
        <v>80</v>
      </c>
      <c r="E41" s="6">
        <v>0.15</v>
      </c>
      <c r="F41" s="6">
        <v>0.1</v>
      </c>
      <c r="G41" s="5">
        <f t="shared" si="7"/>
        <v>325</v>
      </c>
      <c r="H41" s="4">
        <f t="shared" si="8"/>
        <v>45.272000000000006</v>
      </c>
      <c r="I41">
        <f t="shared" si="9"/>
        <v>41.6</v>
      </c>
      <c r="J41" s="4">
        <f t="shared" si="10"/>
        <v>2.16</v>
      </c>
      <c r="K41" s="4">
        <f t="shared" si="11"/>
        <v>1.5120000000000002</v>
      </c>
      <c r="L41" s="4">
        <v>0.4</v>
      </c>
      <c r="M41" s="7"/>
      <c r="N41" s="4">
        <v>30</v>
      </c>
      <c r="O41" s="4">
        <v>1</v>
      </c>
    </row>
    <row r="42" spans="1:15" ht="15.75" x14ac:dyDescent="0.2">
      <c r="A42" s="14" t="s">
        <v>128</v>
      </c>
      <c r="B42" s="2">
        <v>102028066</v>
      </c>
      <c r="C42" s="4">
        <f t="shared" si="6"/>
        <v>251.39</v>
      </c>
      <c r="D42" s="4">
        <v>80</v>
      </c>
      <c r="E42" s="6">
        <v>0.15</v>
      </c>
      <c r="F42" s="6">
        <v>0.1</v>
      </c>
      <c r="G42" s="5">
        <f t="shared" si="7"/>
        <v>397</v>
      </c>
      <c r="H42" s="4">
        <f t="shared" si="8"/>
        <v>68.971999999999994</v>
      </c>
      <c r="I42">
        <f t="shared" si="9"/>
        <v>65.3</v>
      </c>
      <c r="J42" s="4">
        <f t="shared" si="10"/>
        <v>2.16</v>
      </c>
      <c r="K42" s="4">
        <f t="shared" si="11"/>
        <v>1.5120000000000002</v>
      </c>
      <c r="L42" s="4">
        <v>0.7</v>
      </c>
      <c r="M42" s="7"/>
      <c r="N42" s="4">
        <v>30</v>
      </c>
      <c r="O42" s="4">
        <v>1</v>
      </c>
    </row>
    <row r="43" spans="1:15" ht="15.75" x14ac:dyDescent="0.2">
      <c r="A43" s="14" t="s">
        <v>129</v>
      </c>
      <c r="B43" s="2">
        <v>102334569</v>
      </c>
      <c r="C43" s="4">
        <f t="shared" si="6"/>
        <v>251.39</v>
      </c>
      <c r="D43" s="4">
        <v>80</v>
      </c>
      <c r="E43" s="6">
        <v>0.15</v>
      </c>
      <c r="F43" s="6">
        <v>0.1</v>
      </c>
      <c r="G43" s="5">
        <f t="shared" si="7"/>
        <v>397</v>
      </c>
      <c r="H43" s="4">
        <f t="shared" si="8"/>
        <v>68.971999999999994</v>
      </c>
      <c r="I43">
        <f t="shared" si="9"/>
        <v>65.3</v>
      </c>
      <c r="J43" s="4">
        <f t="shared" si="10"/>
        <v>2.16</v>
      </c>
      <c r="K43" s="4">
        <f t="shared" si="11"/>
        <v>1.5120000000000002</v>
      </c>
      <c r="L43" s="4">
        <v>0.7</v>
      </c>
      <c r="M43" s="7"/>
      <c r="N43" s="4">
        <v>30</v>
      </c>
      <c r="O43" s="4">
        <v>1</v>
      </c>
    </row>
    <row r="44" spans="1:15" ht="15.75" x14ac:dyDescent="0.2">
      <c r="A44" s="14" t="s">
        <v>133</v>
      </c>
      <c r="B44" s="2">
        <v>102334570</v>
      </c>
      <c r="C44" s="4">
        <f t="shared" si="6"/>
        <v>291.52</v>
      </c>
      <c r="D44" s="4">
        <v>80</v>
      </c>
      <c r="E44" s="6">
        <v>0.15</v>
      </c>
      <c r="F44" s="6">
        <v>0.1</v>
      </c>
      <c r="G44" s="5">
        <f t="shared" si="7"/>
        <v>445</v>
      </c>
      <c r="H44" s="4">
        <f t="shared" si="8"/>
        <v>84.772000000000006</v>
      </c>
      <c r="I44">
        <f t="shared" si="9"/>
        <v>81.100000000000009</v>
      </c>
      <c r="J44" s="4">
        <f t="shared" si="10"/>
        <v>2.16</v>
      </c>
      <c r="K44" s="4">
        <f t="shared" si="11"/>
        <v>1.5120000000000002</v>
      </c>
      <c r="L44" s="4">
        <v>0.9</v>
      </c>
      <c r="M44" s="7"/>
      <c r="N44" s="4">
        <v>30</v>
      </c>
      <c r="O44" s="4">
        <v>1</v>
      </c>
    </row>
    <row r="45" spans="1:15" ht="15.75" x14ac:dyDescent="0.2">
      <c r="A45" s="14" t="s">
        <v>153</v>
      </c>
      <c r="B45" s="2">
        <v>102627207</v>
      </c>
      <c r="C45" s="4">
        <f t="shared" si="6"/>
        <v>271.45</v>
      </c>
      <c r="D45" s="4">
        <v>80</v>
      </c>
      <c r="E45" s="6">
        <v>0.15</v>
      </c>
      <c r="F45" s="6">
        <v>0.1</v>
      </c>
      <c r="G45" s="5">
        <f t="shared" si="7"/>
        <v>421</v>
      </c>
      <c r="H45" s="4">
        <f t="shared" si="8"/>
        <v>76.872</v>
      </c>
      <c r="I45">
        <f t="shared" si="9"/>
        <v>73.2</v>
      </c>
      <c r="J45" s="4">
        <f t="shared" si="10"/>
        <v>2.16</v>
      </c>
      <c r="K45" s="4">
        <f t="shared" si="11"/>
        <v>1.5120000000000002</v>
      </c>
      <c r="L45" s="4">
        <v>0.8</v>
      </c>
      <c r="M45" s="7"/>
      <c r="N45" s="4">
        <v>30</v>
      </c>
      <c r="O45" s="4">
        <v>1</v>
      </c>
    </row>
    <row r="46" spans="1:15" ht="15.75" x14ac:dyDescent="0.2">
      <c r="A46" s="14" t="s">
        <v>312</v>
      </c>
      <c r="B46" s="2">
        <v>102099835</v>
      </c>
      <c r="C46" s="4">
        <f t="shared" si="6"/>
        <v>171.12</v>
      </c>
      <c r="D46" s="4">
        <v>80</v>
      </c>
      <c r="E46" s="6">
        <v>0.15</v>
      </c>
      <c r="F46" s="6">
        <v>0.1</v>
      </c>
      <c r="G46" s="5">
        <f t="shared" si="7"/>
        <v>301</v>
      </c>
      <c r="H46" s="4">
        <f t="shared" si="8"/>
        <v>37.372</v>
      </c>
      <c r="I46">
        <f t="shared" si="9"/>
        <v>33.700000000000003</v>
      </c>
      <c r="J46" s="4">
        <f t="shared" si="10"/>
        <v>2.16</v>
      </c>
      <c r="K46" s="4">
        <f t="shared" si="11"/>
        <v>1.5120000000000002</v>
      </c>
      <c r="L46" s="4">
        <v>0.3</v>
      </c>
      <c r="M46" s="7"/>
      <c r="N46" s="4">
        <v>30</v>
      </c>
      <c r="O46" s="4">
        <v>1</v>
      </c>
    </row>
    <row r="47" spans="1:15" ht="15.75" x14ac:dyDescent="0.2">
      <c r="A47" s="14" t="s">
        <v>142</v>
      </c>
      <c r="B47" s="2">
        <v>102467034</v>
      </c>
      <c r="C47" s="4">
        <f t="shared" si="6"/>
        <v>221.29</v>
      </c>
      <c r="D47" s="4">
        <v>80</v>
      </c>
      <c r="E47" s="6">
        <v>0.15</v>
      </c>
      <c r="F47" s="6">
        <v>0.1</v>
      </c>
      <c r="G47" s="5">
        <f t="shared" si="7"/>
        <v>361</v>
      </c>
      <c r="H47" s="4">
        <f t="shared" si="8"/>
        <v>57.122</v>
      </c>
      <c r="I47">
        <f t="shared" si="9"/>
        <v>53.45</v>
      </c>
      <c r="J47" s="4">
        <f t="shared" si="10"/>
        <v>2.16</v>
      </c>
      <c r="K47" s="4">
        <f t="shared" si="11"/>
        <v>1.5120000000000002</v>
      </c>
      <c r="L47" s="4">
        <v>0.55000000000000004</v>
      </c>
      <c r="M47" s="7"/>
      <c r="N47" s="4">
        <v>30</v>
      </c>
      <c r="O47" s="4">
        <v>1</v>
      </c>
    </row>
    <row r="48" spans="1:15" ht="15.75" x14ac:dyDescent="0.2">
      <c r="A48" s="14" t="s">
        <v>144</v>
      </c>
      <c r="B48" s="2">
        <v>102261351</v>
      </c>
      <c r="C48" s="4">
        <f t="shared" si="6"/>
        <v>241.36</v>
      </c>
      <c r="D48" s="4">
        <v>80</v>
      </c>
      <c r="E48" s="6">
        <v>0.15</v>
      </c>
      <c r="F48" s="6">
        <v>0.1</v>
      </c>
      <c r="G48" s="5">
        <f t="shared" si="7"/>
        <v>385</v>
      </c>
      <c r="H48" s="4">
        <f t="shared" si="8"/>
        <v>65.022000000000006</v>
      </c>
      <c r="I48">
        <f t="shared" si="9"/>
        <v>61.35</v>
      </c>
      <c r="J48" s="4">
        <f t="shared" si="10"/>
        <v>2.16</v>
      </c>
      <c r="K48" s="4">
        <f t="shared" si="11"/>
        <v>1.5120000000000002</v>
      </c>
      <c r="L48" s="4">
        <v>0.65</v>
      </c>
      <c r="M48" s="7"/>
      <c r="N48" s="4">
        <v>30</v>
      </c>
      <c r="O48" s="4">
        <v>1</v>
      </c>
    </row>
    <row r="49" spans="1:15" ht="15.75" x14ac:dyDescent="0.2">
      <c r="A49" s="14" t="s">
        <v>149</v>
      </c>
      <c r="B49" s="2">
        <v>102902888</v>
      </c>
      <c r="C49" s="4">
        <f t="shared" si="6"/>
        <v>311.58999999999997</v>
      </c>
      <c r="D49" s="4">
        <v>80</v>
      </c>
      <c r="E49" s="6">
        <v>0.15</v>
      </c>
      <c r="F49" s="6">
        <v>0.1</v>
      </c>
      <c r="G49" s="5">
        <f t="shared" si="7"/>
        <v>469</v>
      </c>
      <c r="H49" s="4">
        <f t="shared" si="8"/>
        <v>92.671999999999997</v>
      </c>
      <c r="I49">
        <f t="shared" si="9"/>
        <v>89</v>
      </c>
      <c r="J49" s="4">
        <f t="shared" si="10"/>
        <v>2.16</v>
      </c>
      <c r="K49" s="4">
        <f t="shared" si="11"/>
        <v>1.5120000000000002</v>
      </c>
      <c r="L49" s="4">
        <v>1</v>
      </c>
      <c r="M49" s="7"/>
      <c r="N49" s="4">
        <v>30</v>
      </c>
      <c r="O49" s="4">
        <v>1</v>
      </c>
    </row>
    <row r="50" spans="1:15" ht="15.75" x14ac:dyDescent="0.2">
      <c r="A50" s="14" t="s">
        <v>152</v>
      </c>
      <c r="B50" s="2">
        <v>102099212</v>
      </c>
      <c r="C50" s="4">
        <f t="shared" si="6"/>
        <v>231.32</v>
      </c>
      <c r="D50" s="4">
        <v>80</v>
      </c>
      <c r="E50" s="6">
        <v>0.15</v>
      </c>
      <c r="F50" s="6">
        <v>0.1</v>
      </c>
      <c r="G50" s="5">
        <f t="shared" si="7"/>
        <v>373</v>
      </c>
      <c r="H50" s="4">
        <f t="shared" si="8"/>
        <v>61.072000000000003</v>
      </c>
      <c r="I50">
        <f t="shared" si="9"/>
        <v>57.4</v>
      </c>
      <c r="J50" s="4">
        <f t="shared" si="10"/>
        <v>2.16</v>
      </c>
      <c r="K50" s="4">
        <f t="shared" si="11"/>
        <v>1.5120000000000002</v>
      </c>
      <c r="L50" s="4">
        <v>0.6</v>
      </c>
      <c r="M50" s="7"/>
      <c r="N50" s="4">
        <v>30</v>
      </c>
      <c r="O50" s="4">
        <v>1</v>
      </c>
    </row>
    <row r="51" spans="1:15" ht="15.75" x14ac:dyDescent="0.2">
      <c r="A51" s="14" t="s">
        <v>157</v>
      </c>
      <c r="B51" s="2">
        <v>102413844</v>
      </c>
      <c r="C51" s="4">
        <f t="shared" ref="C51:C54" si="12">ROUND((H51+N51+M51)*2.54,2)</f>
        <v>202.11</v>
      </c>
      <c r="D51" s="4">
        <v>80</v>
      </c>
      <c r="E51" s="6">
        <v>0.15</v>
      </c>
      <c r="F51" s="6">
        <v>0.1</v>
      </c>
      <c r="G51" s="5">
        <f t="shared" ref="G51:G54" si="13">ROUND((C51+D51)/(1-F51*(1+E51)-5%),0)</f>
        <v>338</v>
      </c>
      <c r="H51" s="4">
        <f t="shared" ref="H51:H54" si="14">I51+J51+K51</f>
        <v>21.571999999999999</v>
      </c>
      <c r="I51">
        <f t="shared" ref="I51:I54" si="15">L51*79+10</f>
        <v>17.899999999999999</v>
      </c>
      <c r="J51" s="4">
        <f t="shared" ref="J51:J54" si="16">O51*7.2*0.3</f>
        <v>2.16</v>
      </c>
      <c r="K51" s="4">
        <f t="shared" ref="K51:K54" si="17">(O51*1.1*7.2+J51)*0.15</f>
        <v>1.5120000000000002</v>
      </c>
      <c r="L51">
        <v>0.1</v>
      </c>
      <c r="M51">
        <v>28</v>
      </c>
      <c r="N51" s="4">
        <v>30</v>
      </c>
      <c r="O51" s="4">
        <v>1</v>
      </c>
    </row>
    <row r="52" spans="1:15" ht="15.75" x14ac:dyDescent="0.2">
      <c r="A52" s="14">
        <v>9902299877732</v>
      </c>
      <c r="B52" s="2">
        <v>102671530</v>
      </c>
      <c r="C52" s="4">
        <f t="shared" si="12"/>
        <v>312.35000000000002</v>
      </c>
      <c r="D52" s="4">
        <v>80</v>
      </c>
      <c r="E52" s="6">
        <v>0.15</v>
      </c>
      <c r="F52" s="6">
        <v>0.1</v>
      </c>
      <c r="G52" s="5">
        <f t="shared" si="13"/>
        <v>470</v>
      </c>
      <c r="H52" s="4">
        <f t="shared" si="14"/>
        <v>68.971999999999994</v>
      </c>
      <c r="I52">
        <f t="shared" si="15"/>
        <v>65.3</v>
      </c>
      <c r="J52" s="4">
        <f t="shared" si="16"/>
        <v>2.16</v>
      </c>
      <c r="K52" s="4">
        <f t="shared" si="17"/>
        <v>1.5120000000000002</v>
      </c>
      <c r="L52">
        <v>0.7</v>
      </c>
      <c r="M52">
        <v>24</v>
      </c>
      <c r="N52" s="4">
        <v>30</v>
      </c>
      <c r="O52" s="4">
        <v>1</v>
      </c>
    </row>
    <row r="53" spans="1:15" ht="15.75" x14ac:dyDescent="0.2">
      <c r="A53" s="14">
        <v>9902299877756</v>
      </c>
      <c r="B53" s="2">
        <v>102671532</v>
      </c>
      <c r="C53" s="4">
        <f t="shared" si="12"/>
        <v>312.35000000000002</v>
      </c>
      <c r="D53" s="4">
        <v>80</v>
      </c>
      <c r="E53" s="6">
        <v>0.15</v>
      </c>
      <c r="F53" s="6">
        <v>0.1</v>
      </c>
      <c r="G53" s="5">
        <f t="shared" si="13"/>
        <v>470</v>
      </c>
      <c r="H53" s="4">
        <f t="shared" si="14"/>
        <v>68.971999999999994</v>
      </c>
      <c r="I53">
        <f t="shared" si="15"/>
        <v>65.3</v>
      </c>
      <c r="J53" s="4">
        <f t="shared" si="16"/>
        <v>2.16</v>
      </c>
      <c r="K53" s="4">
        <f t="shared" si="17"/>
        <v>1.5120000000000002</v>
      </c>
      <c r="L53">
        <v>0.7</v>
      </c>
      <c r="M53">
        <v>24</v>
      </c>
      <c r="N53" s="4">
        <v>30</v>
      </c>
      <c r="O53" s="4">
        <v>1</v>
      </c>
    </row>
    <row r="54" spans="1:15" ht="15.75" x14ac:dyDescent="0.2">
      <c r="A54" s="14">
        <v>9902299877749</v>
      </c>
      <c r="B54" s="2">
        <v>102671531</v>
      </c>
      <c r="C54" s="4">
        <f t="shared" si="12"/>
        <v>312.35000000000002</v>
      </c>
      <c r="D54" s="4">
        <v>80</v>
      </c>
      <c r="E54" s="6">
        <v>0.15</v>
      </c>
      <c r="F54" s="6">
        <v>0.1</v>
      </c>
      <c r="G54" s="5">
        <f t="shared" si="13"/>
        <v>470</v>
      </c>
      <c r="H54" s="4">
        <f t="shared" si="14"/>
        <v>68.971999999999994</v>
      </c>
      <c r="I54">
        <f t="shared" si="15"/>
        <v>65.3</v>
      </c>
      <c r="J54" s="4">
        <f t="shared" si="16"/>
        <v>2.16</v>
      </c>
      <c r="K54" s="4">
        <f t="shared" si="17"/>
        <v>1.5120000000000002</v>
      </c>
      <c r="L54">
        <v>0.7</v>
      </c>
      <c r="M54">
        <v>24</v>
      </c>
      <c r="N54" s="4">
        <v>30</v>
      </c>
      <c r="O54" s="4">
        <v>1</v>
      </c>
    </row>
    <row r="55" spans="1:15" ht="15.75" x14ac:dyDescent="0.2">
      <c r="A55" s="14" t="s">
        <v>183</v>
      </c>
      <c r="B55" s="2">
        <v>103794715</v>
      </c>
      <c r="C55" s="4">
        <f t="shared" ref="C55:C63" si="18">ROUND((H55+N55+M55)*2.54,2)</f>
        <v>198.51</v>
      </c>
      <c r="D55" s="4">
        <v>80</v>
      </c>
      <c r="E55" s="6">
        <v>0.15</v>
      </c>
      <c r="F55" s="6">
        <v>0.1</v>
      </c>
      <c r="G55" s="5">
        <f t="shared" ref="G55:G63" si="19">ROUND((C55+D55)/(1-F55*(1+E55)-5%),0)</f>
        <v>334</v>
      </c>
      <c r="H55" s="4">
        <f t="shared" ref="H55:H63" si="20">I55+J55+K55</f>
        <v>23.152000000000001</v>
      </c>
      <c r="I55">
        <f t="shared" ref="I55:I63" si="21">L55*79+10</f>
        <v>19.48</v>
      </c>
      <c r="J55" s="4">
        <f t="shared" ref="J55:J63" si="22">O55*7.2*0.3</f>
        <v>2.16</v>
      </c>
      <c r="K55" s="4">
        <f t="shared" ref="K55:K63" si="23">(O55*1.1*7.2+J55)*0.15</f>
        <v>1.5120000000000002</v>
      </c>
      <c r="L55">
        <v>0.12</v>
      </c>
      <c r="M55">
        <v>25</v>
      </c>
      <c r="N55" s="4">
        <v>30</v>
      </c>
      <c r="O55" s="4">
        <v>1</v>
      </c>
    </row>
    <row r="56" spans="1:15" ht="15.75" x14ac:dyDescent="0.2">
      <c r="A56" s="14" t="s">
        <v>182</v>
      </c>
      <c r="B56" s="2">
        <v>103791475</v>
      </c>
      <c r="C56" s="4">
        <f t="shared" si="18"/>
        <v>191.44</v>
      </c>
      <c r="D56" s="4">
        <v>80</v>
      </c>
      <c r="E56" s="6">
        <v>0.15</v>
      </c>
      <c r="F56" s="6">
        <v>0.1</v>
      </c>
      <c r="G56" s="5">
        <f t="shared" si="19"/>
        <v>325</v>
      </c>
      <c r="H56" s="4">
        <f t="shared" si="20"/>
        <v>37.372</v>
      </c>
      <c r="I56">
        <f t="shared" si="21"/>
        <v>33.700000000000003</v>
      </c>
      <c r="J56" s="4">
        <f t="shared" si="22"/>
        <v>2.16</v>
      </c>
      <c r="K56" s="4">
        <f t="shared" si="23"/>
        <v>1.5120000000000002</v>
      </c>
      <c r="L56">
        <v>0.3</v>
      </c>
      <c r="M56">
        <v>8</v>
      </c>
      <c r="N56" s="4">
        <v>30</v>
      </c>
      <c r="O56" s="4">
        <v>1</v>
      </c>
    </row>
    <row r="57" spans="1:15" ht="15.75" x14ac:dyDescent="0.2">
      <c r="A57" s="14">
        <v>9902339519950</v>
      </c>
      <c r="B57" s="2">
        <v>103714123</v>
      </c>
      <c r="C57" s="4">
        <f t="shared" si="18"/>
        <v>110.93</v>
      </c>
      <c r="D57" s="4">
        <v>80</v>
      </c>
      <c r="E57" s="6">
        <v>0.15</v>
      </c>
      <c r="F57" s="6">
        <v>0.1</v>
      </c>
      <c r="G57" s="5">
        <f t="shared" si="19"/>
        <v>229</v>
      </c>
      <c r="H57" s="4">
        <f t="shared" si="20"/>
        <v>13.672000000000001</v>
      </c>
      <c r="I57">
        <f t="shared" si="21"/>
        <v>10</v>
      </c>
      <c r="J57" s="4">
        <f t="shared" si="22"/>
        <v>2.16</v>
      </c>
      <c r="K57" s="4">
        <f t="shared" si="23"/>
        <v>1.5120000000000002</v>
      </c>
      <c r="N57" s="4">
        <v>30</v>
      </c>
      <c r="O57" s="4">
        <v>1</v>
      </c>
    </row>
    <row r="58" spans="1:15" ht="15.75" x14ac:dyDescent="0.2">
      <c r="A58" s="14">
        <v>9902339519967</v>
      </c>
      <c r="B58" s="2">
        <v>103714124</v>
      </c>
      <c r="C58" s="4">
        <f t="shared" si="18"/>
        <v>110.93</v>
      </c>
      <c r="D58" s="4">
        <v>80</v>
      </c>
      <c r="E58" s="6">
        <v>0.15</v>
      </c>
      <c r="F58" s="6">
        <v>0.1</v>
      </c>
      <c r="G58" s="5">
        <f t="shared" si="19"/>
        <v>229</v>
      </c>
      <c r="H58" s="4">
        <f t="shared" si="20"/>
        <v>13.672000000000001</v>
      </c>
      <c r="I58">
        <f t="shared" si="21"/>
        <v>10</v>
      </c>
      <c r="J58" s="4">
        <f t="shared" si="22"/>
        <v>2.16</v>
      </c>
      <c r="K58" s="4">
        <f t="shared" si="23"/>
        <v>1.5120000000000002</v>
      </c>
      <c r="N58" s="4">
        <v>30</v>
      </c>
      <c r="O58" s="4">
        <v>1</v>
      </c>
    </row>
    <row r="59" spans="1:15" ht="15.75" x14ac:dyDescent="0.2">
      <c r="A59" s="14" t="s">
        <v>187</v>
      </c>
      <c r="B59" s="2">
        <v>103674926</v>
      </c>
      <c r="C59" s="4">
        <f t="shared" si="18"/>
        <v>110.93</v>
      </c>
      <c r="D59" s="4">
        <v>80</v>
      </c>
      <c r="E59" s="6">
        <v>0.15</v>
      </c>
      <c r="F59" s="6">
        <v>0.1</v>
      </c>
      <c r="G59" s="5">
        <f t="shared" si="19"/>
        <v>229</v>
      </c>
      <c r="H59" s="4">
        <f t="shared" si="20"/>
        <v>13.672000000000001</v>
      </c>
      <c r="I59">
        <f t="shared" si="21"/>
        <v>10</v>
      </c>
      <c r="J59" s="4">
        <f t="shared" si="22"/>
        <v>2.16</v>
      </c>
      <c r="K59" s="4">
        <f t="shared" si="23"/>
        <v>1.5120000000000002</v>
      </c>
      <c r="N59" s="4">
        <v>30</v>
      </c>
      <c r="O59" s="4">
        <v>1</v>
      </c>
    </row>
    <row r="60" spans="1:15" ht="15.75" x14ac:dyDescent="0.2">
      <c r="A60" s="14" t="s">
        <v>188</v>
      </c>
      <c r="B60" s="2">
        <v>103673125</v>
      </c>
      <c r="C60" s="4">
        <f t="shared" si="18"/>
        <v>110.93</v>
      </c>
      <c r="D60" s="4">
        <v>80</v>
      </c>
      <c r="E60" s="6">
        <v>0.15</v>
      </c>
      <c r="F60" s="6">
        <v>0.1</v>
      </c>
      <c r="G60" s="5">
        <f t="shared" si="19"/>
        <v>229</v>
      </c>
      <c r="H60" s="4">
        <f t="shared" si="20"/>
        <v>13.672000000000001</v>
      </c>
      <c r="I60">
        <f t="shared" si="21"/>
        <v>10</v>
      </c>
      <c r="J60" s="4">
        <f t="shared" si="22"/>
        <v>2.16</v>
      </c>
      <c r="K60" s="4">
        <f t="shared" si="23"/>
        <v>1.5120000000000002</v>
      </c>
      <c r="N60" s="4">
        <v>30</v>
      </c>
      <c r="O60" s="4">
        <v>1</v>
      </c>
    </row>
    <row r="61" spans="1:15" ht="15.75" x14ac:dyDescent="0.2">
      <c r="A61" s="14" t="s">
        <v>189</v>
      </c>
      <c r="B61" s="2">
        <v>103672957</v>
      </c>
      <c r="C61" s="4">
        <f t="shared" si="18"/>
        <v>110.93</v>
      </c>
      <c r="D61" s="4">
        <v>80</v>
      </c>
      <c r="E61" s="6">
        <v>0.15</v>
      </c>
      <c r="F61" s="6">
        <v>0.1</v>
      </c>
      <c r="G61" s="5">
        <f t="shared" si="19"/>
        <v>229</v>
      </c>
      <c r="H61" s="4">
        <f t="shared" si="20"/>
        <v>13.672000000000001</v>
      </c>
      <c r="I61">
        <f t="shared" si="21"/>
        <v>10</v>
      </c>
      <c r="J61" s="4">
        <f t="shared" si="22"/>
        <v>2.16</v>
      </c>
      <c r="K61" s="4">
        <f t="shared" si="23"/>
        <v>1.5120000000000002</v>
      </c>
      <c r="N61" s="4">
        <v>30</v>
      </c>
      <c r="O61" s="4">
        <v>1</v>
      </c>
    </row>
    <row r="62" spans="1:15" ht="15.75" x14ac:dyDescent="0.2">
      <c r="A62" s="14" t="s">
        <v>190</v>
      </c>
      <c r="B62" s="2">
        <v>103529920</v>
      </c>
      <c r="C62" s="4">
        <f t="shared" si="18"/>
        <v>110.93</v>
      </c>
      <c r="D62" s="4">
        <v>80</v>
      </c>
      <c r="E62" s="6">
        <v>0.15</v>
      </c>
      <c r="F62" s="6">
        <v>0.1</v>
      </c>
      <c r="G62" s="5">
        <f t="shared" si="19"/>
        <v>229</v>
      </c>
      <c r="H62" s="4">
        <f t="shared" si="20"/>
        <v>13.672000000000001</v>
      </c>
      <c r="I62">
        <f t="shared" si="21"/>
        <v>10</v>
      </c>
      <c r="J62" s="4">
        <f t="shared" si="22"/>
        <v>2.16</v>
      </c>
      <c r="K62" s="4">
        <f t="shared" si="23"/>
        <v>1.5120000000000002</v>
      </c>
      <c r="N62" s="4">
        <v>30</v>
      </c>
      <c r="O62" s="4">
        <v>1</v>
      </c>
    </row>
    <row r="63" spans="1:15" ht="15.75" x14ac:dyDescent="0.2">
      <c r="A63" s="14" t="s">
        <v>191</v>
      </c>
      <c r="B63" s="2">
        <v>103529917</v>
      </c>
      <c r="C63" s="4">
        <f t="shared" si="18"/>
        <v>110.93</v>
      </c>
      <c r="D63" s="4">
        <v>80</v>
      </c>
      <c r="E63" s="6">
        <v>0.15</v>
      </c>
      <c r="F63" s="6">
        <v>0.1</v>
      </c>
      <c r="G63" s="5">
        <f t="shared" si="19"/>
        <v>229</v>
      </c>
      <c r="H63" s="4">
        <f t="shared" si="20"/>
        <v>13.672000000000001</v>
      </c>
      <c r="I63">
        <f t="shared" si="21"/>
        <v>10</v>
      </c>
      <c r="J63" s="4">
        <f t="shared" si="22"/>
        <v>2.16</v>
      </c>
      <c r="K63" s="4">
        <f t="shared" si="23"/>
        <v>1.5120000000000002</v>
      </c>
      <c r="N63" s="4">
        <v>30</v>
      </c>
      <c r="O63" s="4">
        <v>1</v>
      </c>
    </row>
    <row r="64" spans="1:15" ht="15.75" x14ac:dyDescent="0.2">
      <c r="A64" s="14" t="s">
        <v>192</v>
      </c>
      <c r="B64" s="2">
        <v>103529918</v>
      </c>
      <c r="C64" s="4">
        <f t="shared" ref="C64:C126" si="24">ROUND((H64+N64+M64)*2.54,2)</f>
        <v>110.93</v>
      </c>
      <c r="D64" s="4">
        <v>80</v>
      </c>
      <c r="E64" s="6">
        <v>0.15</v>
      </c>
      <c r="F64" s="6">
        <v>0.1</v>
      </c>
      <c r="G64" s="5">
        <f t="shared" ref="G64:G126" si="25">ROUND((C64+D64)/(1-F64*(1+E64)-5%),0)</f>
        <v>229</v>
      </c>
      <c r="H64" s="4">
        <f t="shared" ref="H64:H126" si="26">I64+J64+K64</f>
        <v>13.672000000000001</v>
      </c>
      <c r="I64">
        <f t="shared" ref="I64:I126" si="27">L64*79+10</f>
        <v>10</v>
      </c>
      <c r="J64" s="4">
        <f t="shared" ref="J64:J126" si="28">O64*7.2*0.3</f>
        <v>2.16</v>
      </c>
      <c r="K64" s="4">
        <f t="shared" ref="K64:K126" si="29">(O64*1.1*7.2+J64)*0.15</f>
        <v>1.5120000000000002</v>
      </c>
      <c r="N64" s="4">
        <v>30</v>
      </c>
      <c r="O64" s="4">
        <v>1</v>
      </c>
    </row>
    <row r="65" spans="1:15" ht="15.75" x14ac:dyDescent="0.2">
      <c r="A65" s="14" t="s">
        <v>193</v>
      </c>
      <c r="B65" s="2">
        <v>103529919</v>
      </c>
      <c r="C65" s="4">
        <f t="shared" si="24"/>
        <v>110.93</v>
      </c>
      <c r="D65" s="4">
        <v>80</v>
      </c>
      <c r="E65" s="6">
        <v>0.15</v>
      </c>
      <c r="F65" s="6">
        <v>0.1</v>
      </c>
      <c r="G65" s="5">
        <f t="shared" si="25"/>
        <v>229</v>
      </c>
      <c r="H65" s="4">
        <f t="shared" si="26"/>
        <v>13.672000000000001</v>
      </c>
      <c r="I65">
        <f t="shared" si="27"/>
        <v>10</v>
      </c>
      <c r="J65" s="4">
        <f t="shared" si="28"/>
        <v>2.16</v>
      </c>
      <c r="K65" s="4">
        <f t="shared" si="29"/>
        <v>1.5120000000000002</v>
      </c>
      <c r="N65" s="4">
        <v>30</v>
      </c>
      <c r="O65" s="4">
        <v>1</v>
      </c>
    </row>
    <row r="66" spans="1:15" ht="15.75" x14ac:dyDescent="0.2">
      <c r="A66" s="14" t="s">
        <v>194</v>
      </c>
      <c r="B66" s="2">
        <v>103529914</v>
      </c>
      <c r="C66" s="4">
        <f t="shared" si="24"/>
        <v>110.93</v>
      </c>
      <c r="D66" s="4">
        <v>80</v>
      </c>
      <c r="E66" s="6">
        <v>0.15</v>
      </c>
      <c r="F66" s="6">
        <v>0.1</v>
      </c>
      <c r="G66" s="5">
        <f t="shared" si="25"/>
        <v>229</v>
      </c>
      <c r="H66" s="4">
        <f t="shared" si="26"/>
        <v>13.672000000000001</v>
      </c>
      <c r="I66">
        <f t="shared" si="27"/>
        <v>10</v>
      </c>
      <c r="J66" s="4">
        <f t="shared" si="28"/>
        <v>2.16</v>
      </c>
      <c r="K66" s="4">
        <f t="shared" si="29"/>
        <v>1.5120000000000002</v>
      </c>
      <c r="N66" s="4">
        <v>30</v>
      </c>
      <c r="O66" s="4">
        <v>1</v>
      </c>
    </row>
    <row r="67" spans="1:15" ht="15.75" x14ac:dyDescent="0.2">
      <c r="A67" s="14" t="s">
        <v>195</v>
      </c>
      <c r="B67" s="2">
        <v>103529915</v>
      </c>
      <c r="C67" s="4">
        <f t="shared" si="24"/>
        <v>110.93</v>
      </c>
      <c r="D67" s="4">
        <v>80</v>
      </c>
      <c r="E67" s="6">
        <v>0.15</v>
      </c>
      <c r="F67" s="6">
        <v>0.1</v>
      </c>
      <c r="G67" s="5">
        <f t="shared" si="25"/>
        <v>229</v>
      </c>
      <c r="H67" s="4">
        <f t="shared" si="26"/>
        <v>13.672000000000001</v>
      </c>
      <c r="I67">
        <f t="shared" si="27"/>
        <v>10</v>
      </c>
      <c r="J67" s="4">
        <f t="shared" si="28"/>
        <v>2.16</v>
      </c>
      <c r="K67" s="4">
        <f t="shared" si="29"/>
        <v>1.5120000000000002</v>
      </c>
      <c r="N67" s="4">
        <v>30</v>
      </c>
      <c r="O67" s="4">
        <v>1</v>
      </c>
    </row>
    <row r="68" spans="1:15" ht="15.75" x14ac:dyDescent="0.2">
      <c r="A68" s="14" t="s">
        <v>196</v>
      </c>
      <c r="B68" s="2">
        <v>103529916</v>
      </c>
      <c r="C68" s="4">
        <f t="shared" si="24"/>
        <v>110.93</v>
      </c>
      <c r="D68" s="4">
        <v>80</v>
      </c>
      <c r="E68" s="6">
        <v>0.15</v>
      </c>
      <c r="F68" s="6">
        <v>0.1</v>
      </c>
      <c r="G68" s="5">
        <f t="shared" si="25"/>
        <v>229</v>
      </c>
      <c r="H68" s="4">
        <f t="shared" si="26"/>
        <v>13.672000000000001</v>
      </c>
      <c r="I68">
        <f t="shared" si="27"/>
        <v>10</v>
      </c>
      <c r="J68" s="4">
        <f t="shared" si="28"/>
        <v>2.16</v>
      </c>
      <c r="K68" s="4">
        <f t="shared" si="29"/>
        <v>1.5120000000000002</v>
      </c>
      <c r="N68" s="4">
        <v>30</v>
      </c>
      <c r="O68" s="4">
        <v>1</v>
      </c>
    </row>
    <row r="69" spans="1:15" ht="15.75" x14ac:dyDescent="0.2">
      <c r="A69" s="14" t="s">
        <v>197</v>
      </c>
      <c r="B69" s="2">
        <v>103529913</v>
      </c>
      <c r="C69" s="4">
        <f t="shared" si="24"/>
        <v>110.93</v>
      </c>
      <c r="D69" s="4">
        <v>80</v>
      </c>
      <c r="E69" s="6">
        <v>0.15</v>
      </c>
      <c r="F69" s="6">
        <v>0.1</v>
      </c>
      <c r="G69" s="5">
        <f t="shared" si="25"/>
        <v>229</v>
      </c>
      <c r="H69" s="4">
        <f t="shared" si="26"/>
        <v>13.672000000000001</v>
      </c>
      <c r="I69">
        <f t="shared" si="27"/>
        <v>10</v>
      </c>
      <c r="J69" s="4">
        <f t="shared" si="28"/>
        <v>2.16</v>
      </c>
      <c r="K69" s="4">
        <f t="shared" si="29"/>
        <v>1.5120000000000002</v>
      </c>
      <c r="N69" s="4">
        <v>30</v>
      </c>
      <c r="O69" s="4">
        <v>1</v>
      </c>
    </row>
    <row r="70" spans="1:15" ht="15.75" x14ac:dyDescent="0.2">
      <c r="A70" s="14" t="s">
        <v>198</v>
      </c>
      <c r="B70" s="2">
        <v>103387668</v>
      </c>
      <c r="C70" s="4">
        <f t="shared" si="24"/>
        <v>110.93</v>
      </c>
      <c r="D70" s="4">
        <v>80</v>
      </c>
      <c r="E70" s="6">
        <v>0.15</v>
      </c>
      <c r="F70" s="6">
        <v>0.1</v>
      </c>
      <c r="G70" s="5">
        <f t="shared" si="25"/>
        <v>229</v>
      </c>
      <c r="H70" s="4">
        <f t="shared" si="26"/>
        <v>13.672000000000001</v>
      </c>
      <c r="I70">
        <f t="shared" si="27"/>
        <v>10</v>
      </c>
      <c r="J70" s="4">
        <f t="shared" si="28"/>
        <v>2.16</v>
      </c>
      <c r="K70" s="4">
        <f t="shared" si="29"/>
        <v>1.5120000000000002</v>
      </c>
      <c r="N70" s="4">
        <v>30</v>
      </c>
      <c r="O70" s="4">
        <v>1</v>
      </c>
    </row>
    <row r="71" spans="1:15" ht="15.75" x14ac:dyDescent="0.2">
      <c r="A71" s="14" t="s">
        <v>199</v>
      </c>
      <c r="B71" s="2">
        <v>103387660</v>
      </c>
      <c r="C71" s="4">
        <f t="shared" si="24"/>
        <v>110.93</v>
      </c>
      <c r="D71" s="4">
        <v>80</v>
      </c>
      <c r="E71" s="6">
        <v>0.15</v>
      </c>
      <c r="F71" s="6">
        <v>0.1</v>
      </c>
      <c r="G71" s="5">
        <f t="shared" si="25"/>
        <v>229</v>
      </c>
      <c r="H71" s="4">
        <f t="shared" si="26"/>
        <v>13.672000000000001</v>
      </c>
      <c r="I71">
        <f t="shared" si="27"/>
        <v>10</v>
      </c>
      <c r="J71" s="4">
        <f t="shared" si="28"/>
        <v>2.16</v>
      </c>
      <c r="K71" s="4">
        <f t="shared" si="29"/>
        <v>1.5120000000000002</v>
      </c>
      <c r="N71" s="4">
        <v>30</v>
      </c>
      <c r="O71" s="4">
        <v>1</v>
      </c>
    </row>
    <row r="72" spans="1:15" ht="15.75" x14ac:dyDescent="0.2">
      <c r="A72" s="14" t="s">
        <v>201</v>
      </c>
      <c r="B72" s="2">
        <v>103387661</v>
      </c>
      <c r="C72" s="4">
        <f t="shared" si="24"/>
        <v>110.93</v>
      </c>
      <c r="D72" s="4">
        <v>80</v>
      </c>
      <c r="E72" s="6">
        <v>0.15</v>
      </c>
      <c r="F72" s="6">
        <v>0.1</v>
      </c>
      <c r="G72" s="5">
        <f t="shared" si="25"/>
        <v>229</v>
      </c>
      <c r="H72" s="4">
        <f t="shared" si="26"/>
        <v>13.672000000000001</v>
      </c>
      <c r="I72">
        <f t="shared" si="27"/>
        <v>10</v>
      </c>
      <c r="J72" s="4">
        <f t="shared" si="28"/>
        <v>2.16</v>
      </c>
      <c r="K72" s="4">
        <f t="shared" si="29"/>
        <v>1.5120000000000002</v>
      </c>
      <c r="N72" s="4">
        <v>30</v>
      </c>
      <c r="O72" s="4">
        <v>1</v>
      </c>
    </row>
    <row r="73" spans="1:15" ht="15.75" x14ac:dyDescent="0.2">
      <c r="A73" s="14" t="s">
        <v>200</v>
      </c>
      <c r="B73" s="2">
        <v>103353222</v>
      </c>
      <c r="C73" s="4">
        <f t="shared" si="24"/>
        <v>110.93</v>
      </c>
      <c r="D73" s="4">
        <v>80</v>
      </c>
      <c r="E73" s="6">
        <v>0.15</v>
      </c>
      <c r="F73" s="6">
        <v>0.1</v>
      </c>
      <c r="G73" s="5">
        <f t="shared" si="25"/>
        <v>229</v>
      </c>
      <c r="H73" s="4">
        <f t="shared" si="26"/>
        <v>13.672000000000001</v>
      </c>
      <c r="I73">
        <f t="shared" si="27"/>
        <v>10</v>
      </c>
      <c r="J73" s="4">
        <f t="shared" si="28"/>
        <v>2.16</v>
      </c>
      <c r="K73" s="4">
        <f t="shared" si="29"/>
        <v>1.5120000000000002</v>
      </c>
      <c r="N73" s="4">
        <v>30</v>
      </c>
      <c r="O73" s="4">
        <v>1</v>
      </c>
    </row>
    <row r="74" spans="1:15" ht="15.75" x14ac:dyDescent="0.2">
      <c r="A74" s="14" t="s">
        <v>202</v>
      </c>
      <c r="B74" s="2">
        <v>103344723</v>
      </c>
      <c r="C74" s="4">
        <f t="shared" si="24"/>
        <v>110.93</v>
      </c>
      <c r="D74" s="4">
        <v>80</v>
      </c>
      <c r="E74" s="6">
        <v>0.15</v>
      </c>
      <c r="F74" s="6">
        <v>0.1</v>
      </c>
      <c r="G74" s="5">
        <f t="shared" si="25"/>
        <v>229</v>
      </c>
      <c r="H74" s="4">
        <f t="shared" si="26"/>
        <v>13.672000000000001</v>
      </c>
      <c r="I74">
        <f t="shared" si="27"/>
        <v>10</v>
      </c>
      <c r="J74" s="4">
        <f t="shared" si="28"/>
        <v>2.16</v>
      </c>
      <c r="K74" s="4">
        <f t="shared" si="29"/>
        <v>1.5120000000000002</v>
      </c>
      <c r="N74" s="4">
        <v>30</v>
      </c>
      <c r="O74" s="4">
        <v>1</v>
      </c>
    </row>
    <row r="75" spans="1:15" ht="15.75" x14ac:dyDescent="0.2">
      <c r="A75" s="14" t="s">
        <v>203</v>
      </c>
      <c r="B75" s="2">
        <v>103285975</v>
      </c>
      <c r="C75" s="4">
        <f t="shared" si="24"/>
        <v>110.93</v>
      </c>
      <c r="D75" s="4">
        <v>80</v>
      </c>
      <c r="E75" s="6">
        <v>0.15</v>
      </c>
      <c r="F75" s="6">
        <v>0.1</v>
      </c>
      <c r="G75" s="5">
        <f t="shared" si="25"/>
        <v>229</v>
      </c>
      <c r="H75" s="4">
        <f t="shared" si="26"/>
        <v>13.672000000000001</v>
      </c>
      <c r="I75">
        <f t="shared" si="27"/>
        <v>10</v>
      </c>
      <c r="J75" s="4">
        <f t="shared" si="28"/>
        <v>2.16</v>
      </c>
      <c r="K75" s="4">
        <f t="shared" si="29"/>
        <v>1.5120000000000002</v>
      </c>
      <c r="N75" s="4">
        <v>30</v>
      </c>
      <c r="O75" s="4">
        <v>1</v>
      </c>
    </row>
    <row r="76" spans="1:15" ht="15.75" x14ac:dyDescent="0.2">
      <c r="A76" s="14" t="s">
        <v>204</v>
      </c>
      <c r="B76" s="2">
        <v>103216896</v>
      </c>
      <c r="C76" s="4">
        <f t="shared" si="24"/>
        <v>110.93</v>
      </c>
      <c r="D76" s="4">
        <v>80</v>
      </c>
      <c r="E76" s="6">
        <v>0.15</v>
      </c>
      <c r="F76" s="6">
        <v>0.1</v>
      </c>
      <c r="G76" s="5">
        <f t="shared" si="25"/>
        <v>229</v>
      </c>
      <c r="H76" s="4">
        <f t="shared" si="26"/>
        <v>13.672000000000001</v>
      </c>
      <c r="I76">
        <f t="shared" si="27"/>
        <v>10</v>
      </c>
      <c r="J76" s="4">
        <f t="shared" si="28"/>
        <v>2.16</v>
      </c>
      <c r="K76" s="4">
        <f t="shared" si="29"/>
        <v>1.5120000000000002</v>
      </c>
      <c r="N76" s="4">
        <v>30</v>
      </c>
      <c r="O76" s="4">
        <v>1</v>
      </c>
    </row>
    <row r="77" spans="1:15" ht="15.75" x14ac:dyDescent="0.2">
      <c r="A77" s="14" t="s">
        <v>205</v>
      </c>
      <c r="B77" s="2">
        <v>103216891</v>
      </c>
      <c r="C77" s="4">
        <f t="shared" si="24"/>
        <v>110.93</v>
      </c>
      <c r="D77" s="4">
        <v>80</v>
      </c>
      <c r="E77" s="6">
        <v>0.15</v>
      </c>
      <c r="F77" s="6">
        <v>0.1</v>
      </c>
      <c r="G77" s="5">
        <f t="shared" si="25"/>
        <v>229</v>
      </c>
      <c r="H77" s="4">
        <f t="shared" si="26"/>
        <v>13.672000000000001</v>
      </c>
      <c r="I77">
        <f t="shared" si="27"/>
        <v>10</v>
      </c>
      <c r="J77" s="4">
        <f t="shared" si="28"/>
        <v>2.16</v>
      </c>
      <c r="K77" s="4">
        <f t="shared" si="29"/>
        <v>1.5120000000000002</v>
      </c>
      <c r="N77" s="4">
        <v>30</v>
      </c>
      <c r="O77" s="4">
        <v>1</v>
      </c>
    </row>
    <row r="78" spans="1:15" ht="15.75" x14ac:dyDescent="0.2">
      <c r="A78" s="14" t="s">
        <v>206</v>
      </c>
      <c r="B78" s="2">
        <v>103210042</v>
      </c>
      <c r="C78" s="4">
        <f t="shared" si="24"/>
        <v>110.93</v>
      </c>
      <c r="D78" s="4">
        <v>80</v>
      </c>
      <c r="E78" s="6">
        <v>0.15</v>
      </c>
      <c r="F78" s="6">
        <v>0.1</v>
      </c>
      <c r="G78" s="5">
        <f t="shared" si="25"/>
        <v>229</v>
      </c>
      <c r="H78" s="4">
        <f t="shared" si="26"/>
        <v>13.672000000000001</v>
      </c>
      <c r="I78">
        <f t="shared" si="27"/>
        <v>10</v>
      </c>
      <c r="J78" s="4">
        <f t="shared" si="28"/>
        <v>2.16</v>
      </c>
      <c r="K78" s="4">
        <f t="shared" si="29"/>
        <v>1.5120000000000002</v>
      </c>
      <c r="N78" s="4">
        <v>30</v>
      </c>
      <c r="O78" s="4">
        <v>1</v>
      </c>
    </row>
    <row r="79" spans="1:15" ht="15.75" x14ac:dyDescent="0.2">
      <c r="A79" s="14" t="s">
        <v>207</v>
      </c>
      <c r="B79" s="2">
        <v>103210004</v>
      </c>
      <c r="C79" s="4">
        <f t="shared" si="24"/>
        <v>110.93</v>
      </c>
      <c r="D79" s="4">
        <v>80</v>
      </c>
      <c r="E79" s="6">
        <v>0.15</v>
      </c>
      <c r="F79" s="6">
        <v>0.1</v>
      </c>
      <c r="G79" s="5">
        <f t="shared" si="25"/>
        <v>229</v>
      </c>
      <c r="H79" s="4">
        <f t="shared" si="26"/>
        <v>13.672000000000001</v>
      </c>
      <c r="I79">
        <f t="shared" si="27"/>
        <v>10</v>
      </c>
      <c r="J79" s="4">
        <f t="shared" si="28"/>
        <v>2.16</v>
      </c>
      <c r="K79" s="4">
        <f t="shared" si="29"/>
        <v>1.5120000000000002</v>
      </c>
      <c r="N79" s="4">
        <v>30</v>
      </c>
      <c r="O79" s="4">
        <v>1</v>
      </c>
    </row>
    <row r="80" spans="1:15" ht="15.75" x14ac:dyDescent="0.2">
      <c r="A80" s="14" t="s">
        <v>208</v>
      </c>
      <c r="B80" s="2">
        <v>103208051</v>
      </c>
      <c r="C80" s="4">
        <f t="shared" si="24"/>
        <v>110.93</v>
      </c>
      <c r="D80" s="4">
        <v>80</v>
      </c>
      <c r="E80" s="6">
        <v>0.15</v>
      </c>
      <c r="F80" s="6">
        <v>0.1</v>
      </c>
      <c r="G80" s="5">
        <f t="shared" si="25"/>
        <v>229</v>
      </c>
      <c r="H80" s="4">
        <f t="shared" si="26"/>
        <v>13.672000000000001</v>
      </c>
      <c r="I80">
        <f t="shared" si="27"/>
        <v>10</v>
      </c>
      <c r="J80" s="4">
        <f t="shared" si="28"/>
        <v>2.16</v>
      </c>
      <c r="K80" s="4">
        <f t="shared" si="29"/>
        <v>1.5120000000000002</v>
      </c>
      <c r="N80" s="4">
        <v>30</v>
      </c>
      <c r="O80" s="4">
        <v>1</v>
      </c>
    </row>
    <row r="81" spans="1:15" ht="15.75" x14ac:dyDescent="0.2">
      <c r="A81" s="14" t="s">
        <v>209</v>
      </c>
      <c r="B81" s="2">
        <v>103193011</v>
      </c>
      <c r="C81" s="4">
        <f t="shared" si="24"/>
        <v>110.93</v>
      </c>
      <c r="D81" s="4">
        <v>80</v>
      </c>
      <c r="E81" s="6">
        <v>0.15</v>
      </c>
      <c r="F81" s="6">
        <v>0.1</v>
      </c>
      <c r="G81" s="5">
        <f t="shared" si="25"/>
        <v>229</v>
      </c>
      <c r="H81" s="4">
        <f t="shared" si="26"/>
        <v>13.672000000000001</v>
      </c>
      <c r="I81">
        <f t="shared" si="27"/>
        <v>10</v>
      </c>
      <c r="J81" s="4">
        <f t="shared" si="28"/>
        <v>2.16</v>
      </c>
      <c r="K81" s="4">
        <f t="shared" si="29"/>
        <v>1.5120000000000002</v>
      </c>
      <c r="N81" s="4">
        <v>30</v>
      </c>
      <c r="O81" s="4">
        <v>1</v>
      </c>
    </row>
    <row r="82" spans="1:15" ht="15.75" x14ac:dyDescent="0.2">
      <c r="A82" s="14" t="s">
        <v>210</v>
      </c>
      <c r="B82" s="2">
        <v>103193007</v>
      </c>
      <c r="C82" s="4">
        <f t="shared" si="24"/>
        <v>110.93</v>
      </c>
      <c r="D82" s="4">
        <v>80</v>
      </c>
      <c r="E82" s="6">
        <v>0.15</v>
      </c>
      <c r="F82" s="6">
        <v>0.1</v>
      </c>
      <c r="G82" s="5">
        <f t="shared" si="25"/>
        <v>229</v>
      </c>
      <c r="H82" s="4">
        <f t="shared" si="26"/>
        <v>13.672000000000001</v>
      </c>
      <c r="I82">
        <f t="shared" si="27"/>
        <v>10</v>
      </c>
      <c r="J82" s="4">
        <f t="shared" si="28"/>
        <v>2.16</v>
      </c>
      <c r="K82" s="4">
        <f t="shared" si="29"/>
        <v>1.5120000000000002</v>
      </c>
      <c r="N82" s="4">
        <v>30</v>
      </c>
      <c r="O82" s="4">
        <v>1</v>
      </c>
    </row>
    <row r="83" spans="1:15" ht="15.75" x14ac:dyDescent="0.2">
      <c r="A83" s="14" t="s">
        <v>211</v>
      </c>
      <c r="B83" s="2">
        <v>103193002</v>
      </c>
      <c r="C83" s="4">
        <f t="shared" si="24"/>
        <v>110.93</v>
      </c>
      <c r="D83" s="4">
        <v>80</v>
      </c>
      <c r="E83" s="6">
        <v>0.15</v>
      </c>
      <c r="F83" s="6">
        <v>0.1</v>
      </c>
      <c r="G83" s="5">
        <f t="shared" si="25"/>
        <v>229</v>
      </c>
      <c r="H83" s="4">
        <f t="shared" si="26"/>
        <v>13.672000000000001</v>
      </c>
      <c r="I83">
        <f t="shared" si="27"/>
        <v>10</v>
      </c>
      <c r="J83" s="4">
        <f t="shared" si="28"/>
        <v>2.16</v>
      </c>
      <c r="K83" s="4">
        <f t="shared" si="29"/>
        <v>1.5120000000000002</v>
      </c>
      <c r="N83" s="4">
        <v>30</v>
      </c>
      <c r="O83" s="4">
        <v>1</v>
      </c>
    </row>
    <row r="84" spans="1:15" ht="15.75" x14ac:dyDescent="0.2">
      <c r="A84" s="14" t="s">
        <v>212</v>
      </c>
      <c r="B84" s="2">
        <v>103161520</v>
      </c>
      <c r="C84" s="4">
        <f t="shared" si="24"/>
        <v>110.93</v>
      </c>
      <c r="D84" s="4">
        <v>80</v>
      </c>
      <c r="E84" s="6">
        <v>0.15</v>
      </c>
      <c r="F84" s="6">
        <v>0.1</v>
      </c>
      <c r="G84" s="5">
        <f t="shared" si="25"/>
        <v>229</v>
      </c>
      <c r="H84" s="4">
        <f t="shared" si="26"/>
        <v>13.672000000000001</v>
      </c>
      <c r="I84">
        <f t="shared" si="27"/>
        <v>10</v>
      </c>
      <c r="J84" s="4">
        <f t="shared" si="28"/>
        <v>2.16</v>
      </c>
      <c r="K84" s="4">
        <f t="shared" si="29"/>
        <v>1.5120000000000002</v>
      </c>
      <c r="N84" s="4">
        <v>30</v>
      </c>
      <c r="O84" s="4">
        <v>1</v>
      </c>
    </row>
    <row r="85" spans="1:15" ht="15.75" x14ac:dyDescent="0.2">
      <c r="A85" s="14" t="s">
        <v>213</v>
      </c>
      <c r="B85" s="2">
        <v>103156016</v>
      </c>
      <c r="C85" s="4">
        <f t="shared" si="24"/>
        <v>110.93</v>
      </c>
      <c r="D85" s="4">
        <v>80</v>
      </c>
      <c r="E85" s="6">
        <v>0.15</v>
      </c>
      <c r="F85" s="6">
        <v>0.1</v>
      </c>
      <c r="G85" s="5">
        <f t="shared" si="25"/>
        <v>229</v>
      </c>
      <c r="H85" s="4">
        <f t="shared" si="26"/>
        <v>13.672000000000001</v>
      </c>
      <c r="I85">
        <f t="shared" si="27"/>
        <v>10</v>
      </c>
      <c r="J85" s="4">
        <f t="shared" si="28"/>
        <v>2.16</v>
      </c>
      <c r="K85" s="4">
        <f t="shared" si="29"/>
        <v>1.5120000000000002</v>
      </c>
      <c r="N85" s="4">
        <v>30</v>
      </c>
      <c r="O85" s="4">
        <v>1</v>
      </c>
    </row>
    <row r="86" spans="1:15" ht="15.75" x14ac:dyDescent="0.2">
      <c r="A86" s="14" t="s">
        <v>214</v>
      </c>
      <c r="B86" s="2">
        <v>102857767</v>
      </c>
      <c r="C86" s="4">
        <f t="shared" si="24"/>
        <v>110.93</v>
      </c>
      <c r="D86" s="4">
        <v>80</v>
      </c>
      <c r="E86" s="6">
        <v>0.15</v>
      </c>
      <c r="F86" s="6">
        <v>0.1</v>
      </c>
      <c r="G86" s="5">
        <f t="shared" si="25"/>
        <v>229</v>
      </c>
      <c r="H86" s="4">
        <f t="shared" si="26"/>
        <v>13.672000000000001</v>
      </c>
      <c r="I86">
        <f t="shared" si="27"/>
        <v>10</v>
      </c>
      <c r="J86" s="4">
        <f t="shared" si="28"/>
        <v>2.16</v>
      </c>
      <c r="K86" s="4">
        <f t="shared" si="29"/>
        <v>1.5120000000000002</v>
      </c>
      <c r="N86" s="4">
        <v>30</v>
      </c>
      <c r="O86" s="4">
        <v>1</v>
      </c>
    </row>
    <row r="87" spans="1:15" ht="15.75" x14ac:dyDescent="0.2">
      <c r="A87" s="14" t="s">
        <v>215</v>
      </c>
      <c r="B87" s="2">
        <v>102671525</v>
      </c>
      <c r="C87" s="4">
        <f t="shared" si="24"/>
        <v>110.93</v>
      </c>
      <c r="D87" s="4">
        <v>80</v>
      </c>
      <c r="E87" s="6">
        <v>0.15</v>
      </c>
      <c r="F87" s="6">
        <v>0.1</v>
      </c>
      <c r="G87" s="5">
        <f t="shared" si="25"/>
        <v>229</v>
      </c>
      <c r="H87" s="4">
        <f t="shared" si="26"/>
        <v>13.672000000000001</v>
      </c>
      <c r="I87">
        <f t="shared" si="27"/>
        <v>10</v>
      </c>
      <c r="J87" s="4">
        <f t="shared" si="28"/>
        <v>2.16</v>
      </c>
      <c r="K87" s="4">
        <f t="shared" si="29"/>
        <v>1.5120000000000002</v>
      </c>
      <c r="N87" s="4">
        <v>30</v>
      </c>
      <c r="O87" s="4">
        <v>1</v>
      </c>
    </row>
    <row r="88" spans="1:15" ht="15.75" x14ac:dyDescent="0.2">
      <c r="A88" s="14" t="s">
        <v>216</v>
      </c>
      <c r="B88" s="2">
        <v>102668945</v>
      </c>
      <c r="C88" s="4">
        <f t="shared" si="24"/>
        <v>110.93</v>
      </c>
      <c r="D88" s="4">
        <v>80</v>
      </c>
      <c r="E88" s="6">
        <v>0.15</v>
      </c>
      <c r="F88" s="6">
        <v>0.1</v>
      </c>
      <c r="G88" s="5">
        <f t="shared" si="25"/>
        <v>229</v>
      </c>
      <c r="H88" s="4">
        <f t="shared" si="26"/>
        <v>13.672000000000001</v>
      </c>
      <c r="I88">
        <f t="shared" si="27"/>
        <v>10</v>
      </c>
      <c r="J88" s="4">
        <f t="shared" si="28"/>
        <v>2.16</v>
      </c>
      <c r="K88" s="4">
        <f t="shared" si="29"/>
        <v>1.5120000000000002</v>
      </c>
      <c r="N88" s="4">
        <v>30</v>
      </c>
      <c r="O88" s="4">
        <v>1</v>
      </c>
    </row>
    <row r="89" spans="1:15" ht="15.75" x14ac:dyDescent="0.2">
      <c r="A89" s="14" t="s">
        <v>217</v>
      </c>
      <c r="B89" s="2">
        <v>102646913</v>
      </c>
      <c r="C89" s="4">
        <f t="shared" si="24"/>
        <v>110.93</v>
      </c>
      <c r="D89" s="4">
        <v>80</v>
      </c>
      <c r="E89" s="6">
        <v>0.15</v>
      </c>
      <c r="F89" s="6">
        <v>0.1</v>
      </c>
      <c r="G89" s="5">
        <f t="shared" si="25"/>
        <v>229</v>
      </c>
      <c r="H89" s="4">
        <f t="shared" si="26"/>
        <v>13.672000000000001</v>
      </c>
      <c r="I89">
        <f t="shared" si="27"/>
        <v>10</v>
      </c>
      <c r="J89" s="4">
        <f t="shared" si="28"/>
        <v>2.16</v>
      </c>
      <c r="K89" s="4">
        <f t="shared" si="29"/>
        <v>1.5120000000000002</v>
      </c>
      <c r="N89" s="4">
        <v>30</v>
      </c>
      <c r="O89" s="4">
        <v>1</v>
      </c>
    </row>
    <row r="90" spans="1:15" ht="15.75" x14ac:dyDescent="0.2">
      <c r="A90" s="14" t="s">
        <v>218</v>
      </c>
      <c r="B90" s="2">
        <v>102646914</v>
      </c>
      <c r="C90" s="4">
        <f t="shared" si="24"/>
        <v>110.93</v>
      </c>
      <c r="D90" s="4">
        <v>80</v>
      </c>
      <c r="E90" s="6">
        <v>0.15</v>
      </c>
      <c r="F90" s="6">
        <v>0.1</v>
      </c>
      <c r="G90" s="5">
        <f t="shared" si="25"/>
        <v>229</v>
      </c>
      <c r="H90" s="4">
        <f t="shared" si="26"/>
        <v>13.672000000000001</v>
      </c>
      <c r="I90">
        <f t="shared" si="27"/>
        <v>10</v>
      </c>
      <c r="J90" s="4">
        <f t="shared" si="28"/>
        <v>2.16</v>
      </c>
      <c r="K90" s="4">
        <f t="shared" si="29"/>
        <v>1.5120000000000002</v>
      </c>
      <c r="N90" s="4">
        <v>30</v>
      </c>
      <c r="O90" s="4">
        <v>1</v>
      </c>
    </row>
    <row r="91" spans="1:15" ht="15.75" x14ac:dyDescent="0.2">
      <c r="A91" s="14" t="s">
        <v>313</v>
      </c>
      <c r="B91" s="2">
        <v>102620994</v>
      </c>
      <c r="C91" s="4">
        <f t="shared" si="24"/>
        <v>110.93</v>
      </c>
      <c r="D91" s="4">
        <v>80</v>
      </c>
      <c r="E91" s="6">
        <v>0.15</v>
      </c>
      <c r="F91" s="6">
        <v>0.1</v>
      </c>
      <c r="G91" s="5">
        <f t="shared" si="25"/>
        <v>229</v>
      </c>
      <c r="H91" s="4">
        <f t="shared" si="26"/>
        <v>13.672000000000001</v>
      </c>
      <c r="I91">
        <f t="shared" si="27"/>
        <v>10</v>
      </c>
      <c r="J91" s="4">
        <f t="shared" si="28"/>
        <v>2.16</v>
      </c>
      <c r="K91" s="4">
        <f t="shared" si="29"/>
        <v>1.5120000000000002</v>
      </c>
      <c r="N91" s="4">
        <v>30</v>
      </c>
      <c r="O91" s="4">
        <v>1</v>
      </c>
    </row>
    <row r="92" spans="1:15" ht="15.75" x14ac:dyDescent="0.2">
      <c r="A92" s="14">
        <v>9902296273513</v>
      </c>
      <c r="B92" s="2">
        <v>102586102</v>
      </c>
      <c r="C92" s="4">
        <f t="shared" si="24"/>
        <v>110.93</v>
      </c>
      <c r="D92" s="4">
        <v>80</v>
      </c>
      <c r="E92" s="6">
        <v>0.15</v>
      </c>
      <c r="F92" s="6">
        <v>0.1</v>
      </c>
      <c r="G92" s="5">
        <f t="shared" si="25"/>
        <v>229</v>
      </c>
      <c r="H92" s="4">
        <f t="shared" si="26"/>
        <v>13.672000000000001</v>
      </c>
      <c r="I92">
        <f t="shared" si="27"/>
        <v>10</v>
      </c>
      <c r="J92" s="4">
        <f t="shared" si="28"/>
        <v>2.16</v>
      </c>
      <c r="K92" s="4">
        <f t="shared" si="29"/>
        <v>1.5120000000000002</v>
      </c>
      <c r="N92" s="4">
        <v>30</v>
      </c>
      <c r="O92" s="4">
        <v>1</v>
      </c>
    </row>
    <row r="93" spans="1:15" ht="15.75" x14ac:dyDescent="0.2">
      <c r="A93" s="14">
        <v>9902296273520</v>
      </c>
      <c r="B93" s="2">
        <v>102586103</v>
      </c>
      <c r="C93" s="4">
        <f t="shared" si="24"/>
        <v>110.93</v>
      </c>
      <c r="D93" s="4">
        <v>80</v>
      </c>
      <c r="E93" s="6">
        <v>0.15</v>
      </c>
      <c r="F93" s="6">
        <v>0.1</v>
      </c>
      <c r="G93" s="5">
        <f t="shared" si="25"/>
        <v>229</v>
      </c>
      <c r="H93" s="4">
        <f t="shared" si="26"/>
        <v>13.672000000000001</v>
      </c>
      <c r="I93">
        <f t="shared" si="27"/>
        <v>10</v>
      </c>
      <c r="J93" s="4">
        <f t="shared" si="28"/>
        <v>2.16</v>
      </c>
      <c r="K93" s="4">
        <f t="shared" si="29"/>
        <v>1.5120000000000002</v>
      </c>
      <c r="N93" s="4">
        <v>30</v>
      </c>
      <c r="O93" s="4">
        <v>1</v>
      </c>
    </row>
    <row r="94" spans="1:15" ht="15.75" x14ac:dyDescent="0.2">
      <c r="A94" s="14">
        <v>9902296273483</v>
      </c>
      <c r="B94" s="2">
        <v>102586099</v>
      </c>
      <c r="C94" s="4">
        <f t="shared" si="24"/>
        <v>110.93</v>
      </c>
      <c r="D94" s="4">
        <v>80</v>
      </c>
      <c r="E94" s="6">
        <v>0.15</v>
      </c>
      <c r="F94" s="6">
        <v>0.1</v>
      </c>
      <c r="G94" s="5">
        <f t="shared" si="25"/>
        <v>229</v>
      </c>
      <c r="H94" s="4">
        <f t="shared" si="26"/>
        <v>13.672000000000001</v>
      </c>
      <c r="I94">
        <f t="shared" si="27"/>
        <v>10</v>
      </c>
      <c r="J94" s="4">
        <f t="shared" si="28"/>
        <v>2.16</v>
      </c>
      <c r="K94" s="4">
        <f t="shared" si="29"/>
        <v>1.5120000000000002</v>
      </c>
      <c r="N94" s="4">
        <v>30</v>
      </c>
      <c r="O94" s="4">
        <v>1</v>
      </c>
    </row>
    <row r="95" spans="1:15" ht="15.75" x14ac:dyDescent="0.2">
      <c r="A95" s="14">
        <v>9902296273490</v>
      </c>
      <c r="B95" s="2">
        <v>102586100</v>
      </c>
      <c r="C95" s="4">
        <f t="shared" si="24"/>
        <v>110.93</v>
      </c>
      <c r="D95" s="4">
        <v>80</v>
      </c>
      <c r="E95" s="6">
        <v>0.15</v>
      </c>
      <c r="F95" s="6">
        <v>0.1</v>
      </c>
      <c r="G95" s="5">
        <f t="shared" si="25"/>
        <v>229</v>
      </c>
      <c r="H95" s="4">
        <f t="shared" si="26"/>
        <v>13.672000000000001</v>
      </c>
      <c r="I95">
        <f t="shared" si="27"/>
        <v>10</v>
      </c>
      <c r="J95" s="4">
        <f t="shared" si="28"/>
        <v>2.16</v>
      </c>
      <c r="K95" s="4">
        <f t="shared" si="29"/>
        <v>1.5120000000000002</v>
      </c>
      <c r="N95" s="4">
        <v>30</v>
      </c>
      <c r="O95" s="4">
        <v>1</v>
      </c>
    </row>
    <row r="96" spans="1:15" ht="15.75" x14ac:dyDescent="0.2">
      <c r="A96" s="14">
        <v>9902296273506</v>
      </c>
      <c r="B96" s="2">
        <v>102586101</v>
      </c>
      <c r="C96" s="4">
        <f t="shared" si="24"/>
        <v>110.93</v>
      </c>
      <c r="D96" s="4">
        <v>80</v>
      </c>
      <c r="E96" s="6">
        <v>0.15</v>
      </c>
      <c r="F96" s="6">
        <v>0.1</v>
      </c>
      <c r="G96" s="5">
        <f t="shared" si="25"/>
        <v>229</v>
      </c>
      <c r="H96" s="4">
        <f t="shared" si="26"/>
        <v>13.672000000000001</v>
      </c>
      <c r="I96">
        <f t="shared" si="27"/>
        <v>10</v>
      </c>
      <c r="J96" s="4">
        <f t="shared" si="28"/>
        <v>2.16</v>
      </c>
      <c r="K96" s="4">
        <f t="shared" si="29"/>
        <v>1.5120000000000002</v>
      </c>
      <c r="N96" s="4">
        <v>30</v>
      </c>
      <c r="O96" s="4">
        <v>1</v>
      </c>
    </row>
    <row r="97" spans="1:15" ht="15.75" x14ac:dyDescent="0.2">
      <c r="A97" s="14" t="s">
        <v>219</v>
      </c>
      <c r="B97" s="2">
        <v>102584444</v>
      </c>
      <c r="C97" s="4">
        <f t="shared" si="24"/>
        <v>110.93</v>
      </c>
      <c r="D97" s="4">
        <v>80</v>
      </c>
      <c r="E97" s="6">
        <v>0.15</v>
      </c>
      <c r="F97" s="6">
        <v>0.1</v>
      </c>
      <c r="G97" s="5">
        <f t="shared" si="25"/>
        <v>229</v>
      </c>
      <c r="H97" s="4">
        <f t="shared" si="26"/>
        <v>13.672000000000001</v>
      </c>
      <c r="I97">
        <f t="shared" si="27"/>
        <v>10</v>
      </c>
      <c r="J97" s="4">
        <f t="shared" si="28"/>
        <v>2.16</v>
      </c>
      <c r="K97" s="4">
        <f t="shared" si="29"/>
        <v>1.5120000000000002</v>
      </c>
      <c r="N97" s="4">
        <v>30</v>
      </c>
      <c r="O97" s="4">
        <v>1</v>
      </c>
    </row>
    <row r="98" spans="1:15" ht="15.75" x14ac:dyDescent="0.2">
      <c r="A98" s="14">
        <v>9902296214196</v>
      </c>
      <c r="B98" s="2">
        <v>102584201</v>
      </c>
      <c r="C98" s="4">
        <f t="shared" si="24"/>
        <v>110.93</v>
      </c>
      <c r="D98" s="4">
        <v>80</v>
      </c>
      <c r="E98" s="6">
        <v>0.15</v>
      </c>
      <c r="F98" s="6">
        <v>0.1</v>
      </c>
      <c r="G98" s="5">
        <f t="shared" si="25"/>
        <v>229</v>
      </c>
      <c r="H98" s="4">
        <f t="shared" si="26"/>
        <v>13.672000000000001</v>
      </c>
      <c r="I98">
        <f t="shared" si="27"/>
        <v>10</v>
      </c>
      <c r="J98" s="4">
        <f t="shared" si="28"/>
        <v>2.16</v>
      </c>
      <c r="K98" s="4">
        <f t="shared" si="29"/>
        <v>1.5120000000000002</v>
      </c>
      <c r="N98" s="4">
        <v>30</v>
      </c>
      <c r="O98" s="4">
        <v>1</v>
      </c>
    </row>
    <row r="99" spans="1:15" ht="15.75" x14ac:dyDescent="0.2">
      <c r="A99" s="14">
        <v>9902296214202</v>
      </c>
      <c r="B99" s="2">
        <v>102584202</v>
      </c>
      <c r="C99" s="4">
        <f t="shared" si="24"/>
        <v>110.93</v>
      </c>
      <c r="D99" s="4">
        <v>80</v>
      </c>
      <c r="E99" s="6">
        <v>0.15</v>
      </c>
      <c r="F99" s="6">
        <v>0.1</v>
      </c>
      <c r="G99" s="5">
        <f t="shared" si="25"/>
        <v>229</v>
      </c>
      <c r="H99" s="4">
        <f t="shared" si="26"/>
        <v>13.672000000000001</v>
      </c>
      <c r="I99">
        <f t="shared" si="27"/>
        <v>10</v>
      </c>
      <c r="J99" s="4">
        <f t="shared" si="28"/>
        <v>2.16</v>
      </c>
      <c r="K99" s="4">
        <f t="shared" si="29"/>
        <v>1.5120000000000002</v>
      </c>
      <c r="N99" s="4">
        <v>30</v>
      </c>
      <c r="O99" s="4">
        <v>1</v>
      </c>
    </row>
    <row r="100" spans="1:15" ht="15.75" x14ac:dyDescent="0.2">
      <c r="A100" s="14">
        <v>9902296214189</v>
      </c>
      <c r="B100" s="2">
        <v>102584200</v>
      </c>
      <c r="C100" s="4">
        <f t="shared" si="24"/>
        <v>110.93</v>
      </c>
      <c r="D100" s="4">
        <v>80</v>
      </c>
      <c r="E100" s="6">
        <v>0.15</v>
      </c>
      <c r="F100" s="6">
        <v>0.1</v>
      </c>
      <c r="G100" s="5">
        <f t="shared" si="25"/>
        <v>229</v>
      </c>
      <c r="H100" s="4">
        <f t="shared" si="26"/>
        <v>13.672000000000001</v>
      </c>
      <c r="I100">
        <f t="shared" si="27"/>
        <v>10</v>
      </c>
      <c r="J100" s="4">
        <f t="shared" si="28"/>
        <v>2.16</v>
      </c>
      <c r="K100" s="4">
        <f t="shared" si="29"/>
        <v>1.5120000000000002</v>
      </c>
      <c r="N100" s="4">
        <v>30</v>
      </c>
      <c r="O100" s="4">
        <v>1</v>
      </c>
    </row>
    <row r="101" spans="1:15" ht="15.75" x14ac:dyDescent="0.2">
      <c r="A101" s="14">
        <v>9902296214141</v>
      </c>
      <c r="B101" s="2">
        <v>102584197</v>
      </c>
      <c r="C101" s="4">
        <f t="shared" si="24"/>
        <v>110.93</v>
      </c>
      <c r="D101" s="4">
        <v>80</v>
      </c>
      <c r="E101" s="6">
        <v>0.15</v>
      </c>
      <c r="F101" s="6">
        <v>0.1</v>
      </c>
      <c r="G101" s="5">
        <f t="shared" si="25"/>
        <v>229</v>
      </c>
      <c r="H101" s="4">
        <f t="shared" si="26"/>
        <v>13.672000000000001</v>
      </c>
      <c r="I101">
        <f t="shared" si="27"/>
        <v>10</v>
      </c>
      <c r="J101" s="4">
        <f t="shared" si="28"/>
        <v>2.16</v>
      </c>
      <c r="K101" s="4">
        <f t="shared" si="29"/>
        <v>1.5120000000000002</v>
      </c>
      <c r="N101" s="4">
        <v>30</v>
      </c>
      <c r="O101" s="4">
        <v>1</v>
      </c>
    </row>
    <row r="102" spans="1:15" ht="15.75" x14ac:dyDescent="0.2">
      <c r="A102" s="14" t="s">
        <v>220</v>
      </c>
      <c r="B102" s="2">
        <v>102584166</v>
      </c>
      <c r="C102" s="4">
        <f t="shared" si="24"/>
        <v>110.93</v>
      </c>
      <c r="D102" s="4">
        <v>80</v>
      </c>
      <c r="E102" s="6">
        <v>0.15</v>
      </c>
      <c r="F102" s="6">
        <v>0.1</v>
      </c>
      <c r="G102" s="5">
        <f t="shared" si="25"/>
        <v>229</v>
      </c>
      <c r="H102" s="4">
        <f t="shared" si="26"/>
        <v>13.672000000000001</v>
      </c>
      <c r="I102">
        <f t="shared" si="27"/>
        <v>10</v>
      </c>
      <c r="J102" s="4">
        <f t="shared" si="28"/>
        <v>2.16</v>
      </c>
      <c r="K102" s="4">
        <f t="shared" si="29"/>
        <v>1.5120000000000002</v>
      </c>
      <c r="N102" s="4">
        <v>30</v>
      </c>
      <c r="O102" s="4">
        <v>1</v>
      </c>
    </row>
    <row r="103" spans="1:15" ht="15.75" x14ac:dyDescent="0.2">
      <c r="A103" s="14" t="s">
        <v>221</v>
      </c>
      <c r="B103" s="2">
        <v>102584113</v>
      </c>
      <c r="C103" s="4">
        <f t="shared" si="24"/>
        <v>110.93</v>
      </c>
      <c r="D103" s="4">
        <v>80</v>
      </c>
      <c r="E103" s="6">
        <v>0.15</v>
      </c>
      <c r="F103" s="6">
        <v>0.1</v>
      </c>
      <c r="G103" s="5">
        <f t="shared" si="25"/>
        <v>229</v>
      </c>
      <c r="H103" s="4">
        <f t="shared" si="26"/>
        <v>13.672000000000001</v>
      </c>
      <c r="I103">
        <f t="shared" si="27"/>
        <v>10</v>
      </c>
      <c r="J103" s="4">
        <f t="shared" si="28"/>
        <v>2.16</v>
      </c>
      <c r="K103" s="4">
        <f t="shared" si="29"/>
        <v>1.5120000000000002</v>
      </c>
      <c r="N103" s="4">
        <v>30</v>
      </c>
      <c r="O103" s="4">
        <v>1</v>
      </c>
    </row>
    <row r="104" spans="1:15" ht="15.75" x14ac:dyDescent="0.2">
      <c r="A104" s="14" t="s">
        <v>222</v>
      </c>
      <c r="B104" s="2">
        <v>102535420</v>
      </c>
      <c r="C104" s="4">
        <f t="shared" si="24"/>
        <v>110.93</v>
      </c>
      <c r="D104" s="4">
        <v>80</v>
      </c>
      <c r="E104" s="6">
        <v>0.15</v>
      </c>
      <c r="F104" s="6">
        <v>0.1</v>
      </c>
      <c r="G104" s="5">
        <f t="shared" si="25"/>
        <v>229</v>
      </c>
      <c r="H104" s="4">
        <f t="shared" si="26"/>
        <v>13.672000000000001</v>
      </c>
      <c r="I104">
        <f t="shared" si="27"/>
        <v>10</v>
      </c>
      <c r="J104" s="4">
        <f t="shared" si="28"/>
        <v>2.16</v>
      </c>
      <c r="K104" s="4">
        <f t="shared" si="29"/>
        <v>1.5120000000000002</v>
      </c>
      <c r="N104" s="4">
        <v>30</v>
      </c>
      <c r="O104" s="4">
        <v>1</v>
      </c>
    </row>
    <row r="105" spans="1:15" ht="15.75" x14ac:dyDescent="0.2">
      <c r="A105" s="14" t="s">
        <v>223</v>
      </c>
      <c r="B105" s="2">
        <v>102526866</v>
      </c>
      <c r="C105" s="4">
        <f t="shared" si="24"/>
        <v>110.93</v>
      </c>
      <c r="D105" s="4">
        <v>80</v>
      </c>
      <c r="E105" s="6">
        <v>0.15</v>
      </c>
      <c r="F105" s="6">
        <v>0.1</v>
      </c>
      <c r="G105" s="5">
        <f t="shared" si="25"/>
        <v>229</v>
      </c>
      <c r="H105" s="4">
        <f t="shared" si="26"/>
        <v>13.672000000000001</v>
      </c>
      <c r="I105">
        <f t="shared" si="27"/>
        <v>10</v>
      </c>
      <c r="J105" s="4">
        <f t="shared" si="28"/>
        <v>2.16</v>
      </c>
      <c r="K105" s="4">
        <f t="shared" si="29"/>
        <v>1.5120000000000002</v>
      </c>
      <c r="N105" s="4">
        <v>30</v>
      </c>
      <c r="O105" s="4">
        <v>1</v>
      </c>
    </row>
    <row r="106" spans="1:15" ht="15.75" x14ac:dyDescent="0.2">
      <c r="A106" s="14" t="s">
        <v>224</v>
      </c>
      <c r="B106" s="2">
        <v>102526867</v>
      </c>
      <c r="C106" s="4">
        <f t="shared" si="24"/>
        <v>110.93</v>
      </c>
      <c r="D106" s="4">
        <v>80</v>
      </c>
      <c r="E106" s="6">
        <v>0.15</v>
      </c>
      <c r="F106" s="6">
        <v>0.1</v>
      </c>
      <c r="G106" s="5">
        <f t="shared" si="25"/>
        <v>229</v>
      </c>
      <c r="H106" s="4">
        <f t="shared" si="26"/>
        <v>13.672000000000001</v>
      </c>
      <c r="I106">
        <f t="shared" si="27"/>
        <v>10</v>
      </c>
      <c r="J106" s="4">
        <f t="shared" si="28"/>
        <v>2.16</v>
      </c>
      <c r="K106" s="4">
        <f t="shared" si="29"/>
        <v>1.5120000000000002</v>
      </c>
      <c r="N106" s="4">
        <v>30</v>
      </c>
      <c r="O106" s="4">
        <v>1</v>
      </c>
    </row>
    <row r="107" spans="1:15" ht="15.75" x14ac:dyDescent="0.2">
      <c r="A107" s="14" t="s">
        <v>225</v>
      </c>
      <c r="B107" s="2">
        <v>102526868</v>
      </c>
      <c r="C107" s="4">
        <f t="shared" si="24"/>
        <v>110.93</v>
      </c>
      <c r="D107" s="4">
        <v>80</v>
      </c>
      <c r="E107" s="6">
        <v>0.15</v>
      </c>
      <c r="F107" s="6">
        <v>0.1</v>
      </c>
      <c r="G107" s="5">
        <f t="shared" si="25"/>
        <v>229</v>
      </c>
      <c r="H107" s="4">
        <f t="shared" si="26"/>
        <v>13.672000000000001</v>
      </c>
      <c r="I107">
        <f t="shared" si="27"/>
        <v>10</v>
      </c>
      <c r="J107" s="4">
        <f t="shared" si="28"/>
        <v>2.16</v>
      </c>
      <c r="K107" s="4">
        <f t="shared" si="29"/>
        <v>1.5120000000000002</v>
      </c>
      <c r="N107" s="4">
        <v>30</v>
      </c>
      <c r="O107" s="4">
        <v>1</v>
      </c>
    </row>
    <row r="108" spans="1:15" ht="15.75" x14ac:dyDescent="0.2">
      <c r="A108" t="s">
        <v>226</v>
      </c>
      <c r="B108" s="2">
        <v>101782478</v>
      </c>
      <c r="C108" s="4">
        <f t="shared" si="24"/>
        <v>110.93</v>
      </c>
      <c r="D108" s="4">
        <v>80</v>
      </c>
      <c r="E108" s="6">
        <v>0.15</v>
      </c>
      <c r="F108" s="6">
        <v>0.1</v>
      </c>
      <c r="G108" s="5">
        <f t="shared" si="25"/>
        <v>229</v>
      </c>
      <c r="H108" s="4">
        <f t="shared" si="26"/>
        <v>13.672000000000001</v>
      </c>
      <c r="I108">
        <f t="shared" si="27"/>
        <v>10</v>
      </c>
      <c r="J108" s="4">
        <f t="shared" si="28"/>
        <v>2.16</v>
      </c>
      <c r="K108" s="4">
        <f t="shared" si="29"/>
        <v>1.5120000000000002</v>
      </c>
      <c r="N108" s="4">
        <v>30</v>
      </c>
      <c r="O108" s="4">
        <v>1</v>
      </c>
    </row>
    <row r="109" spans="1:15" ht="15.75" x14ac:dyDescent="0.2">
      <c r="A109" t="s">
        <v>227</v>
      </c>
      <c r="B109" s="2">
        <v>101782479</v>
      </c>
      <c r="C109" s="4">
        <f t="shared" si="24"/>
        <v>110.93</v>
      </c>
      <c r="D109" s="4">
        <v>80</v>
      </c>
      <c r="E109" s="6">
        <v>0.15</v>
      </c>
      <c r="F109" s="6">
        <v>0.1</v>
      </c>
      <c r="G109" s="5">
        <f t="shared" si="25"/>
        <v>229</v>
      </c>
      <c r="H109" s="4">
        <f t="shared" si="26"/>
        <v>13.672000000000001</v>
      </c>
      <c r="I109">
        <f t="shared" si="27"/>
        <v>10</v>
      </c>
      <c r="J109" s="4">
        <f t="shared" si="28"/>
        <v>2.16</v>
      </c>
      <c r="K109" s="4">
        <f t="shared" si="29"/>
        <v>1.5120000000000002</v>
      </c>
      <c r="N109" s="4">
        <v>30</v>
      </c>
      <c r="O109" s="4">
        <v>1</v>
      </c>
    </row>
    <row r="110" spans="1:15" ht="15.75" x14ac:dyDescent="0.2">
      <c r="A110" t="s">
        <v>228</v>
      </c>
      <c r="B110" s="2">
        <v>101782480</v>
      </c>
      <c r="C110" s="4">
        <f t="shared" si="24"/>
        <v>110.93</v>
      </c>
      <c r="D110" s="4">
        <v>80</v>
      </c>
      <c r="E110" s="6">
        <v>0.15</v>
      </c>
      <c r="F110" s="6">
        <v>0.1</v>
      </c>
      <c r="G110" s="5">
        <f t="shared" si="25"/>
        <v>229</v>
      </c>
      <c r="H110" s="4">
        <f t="shared" si="26"/>
        <v>13.672000000000001</v>
      </c>
      <c r="I110">
        <f t="shared" si="27"/>
        <v>10</v>
      </c>
      <c r="J110" s="4">
        <f t="shared" si="28"/>
        <v>2.16</v>
      </c>
      <c r="K110" s="4">
        <f t="shared" si="29"/>
        <v>1.5120000000000002</v>
      </c>
      <c r="N110" s="4">
        <v>30</v>
      </c>
      <c r="O110" s="4">
        <v>1</v>
      </c>
    </row>
    <row r="111" spans="1:15" ht="15.75" x14ac:dyDescent="0.2">
      <c r="A111" t="s">
        <v>229</v>
      </c>
      <c r="B111" s="2">
        <v>101782482</v>
      </c>
      <c r="C111" s="4">
        <f t="shared" si="24"/>
        <v>110.93</v>
      </c>
      <c r="D111" s="4">
        <v>80</v>
      </c>
      <c r="E111" s="6">
        <v>0.15</v>
      </c>
      <c r="F111" s="6">
        <v>0.1</v>
      </c>
      <c r="G111" s="5">
        <f t="shared" si="25"/>
        <v>229</v>
      </c>
      <c r="H111" s="4">
        <f t="shared" si="26"/>
        <v>13.672000000000001</v>
      </c>
      <c r="I111">
        <f t="shared" si="27"/>
        <v>10</v>
      </c>
      <c r="J111" s="4">
        <f t="shared" si="28"/>
        <v>2.16</v>
      </c>
      <c r="K111" s="4">
        <f t="shared" si="29"/>
        <v>1.5120000000000002</v>
      </c>
      <c r="N111" s="4">
        <v>30</v>
      </c>
      <c r="O111" s="4">
        <v>1</v>
      </c>
    </row>
    <row r="112" spans="1:15" ht="15.75" x14ac:dyDescent="0.2">
      <c r="A112" t="s">
        <v>230</v>
      </c>
      <c r="B112" s="2">
        <v>101782483</v>
      </c>
      <c r="C112" s="4">
        <f t="shared" si="24"/>
        <v>110.93</v>
      </c>
      <c r="D112" s="4">
        <v>80</v>
      </c>
      <c r="E112" s="6">
        <v>0.15</v>
      </c>
      <c r="F112" s="6">
        <v>0.1</v>
      </c>
      <c r="G112" s="5">
        <f t="shared" si="25"/>
        <v>229</v>
      </c>
      <c r="H112" s="4">
        <f t="shared" si="26"/>
        <v>13.672000000000001</v>
      </c>
      <c r="I112">
        <f t="shared" si="27"/>
        <v>10</v>
      </c>
      <c r="J112" s="4">
        <f t="shared" si="28"/>
        <v>2.16</v>
      </c>
      <c r="K112" s="4">
        <f t="shared" si="29"/>
        <v>1.5120000000000002</v>
      </c>
      <c r="N112" s="4">
        <v>30</v>
      </c>
      <c r="O112" s="4">
        <v>1</v>
      </c>
    </row>
    <row r="113" spans="1:15" ht="15.75" x14ac:dyDescent="0.2">
      <c r="A113" t="s">
        <v>231</v>
      </c>
      <c r="B113" s="2">
        <v>101894519</v>
      </c>
      <c r="C113" s="4">
        <f t="shared" si="24"/>
        <v>110.93</v>
      </c>
      <c r="D113" s="4">
        <v>80</v>
      </c>
      <c r="E113" s="6">
        <v>0.15</v>
      </c>
      <c r="F113" s="6">
        <v>0.1</v>
      </c>
      <c r="G113" s="5">
        <f t="shared" si="25"/>
        <v>229</v>
      </c>
      <c r="H113" s="4">
        <f t="shared" si="26"/>
        <v>13.672000000000001</v>
      </c>
      <c r="I113">
        <f t="shared" si="27"/>
        <v>10</v>
      </c>
      <c r="J113" s="4">
        <f t="shared" si="28"/>
        <v>2.16</v>
      </c>
      <c r="K113" s="4">
        <f t="shared" si="29"/>
        <v>1.5120000000000002</v>
      </c>
      <c r="N113" s="4">
        <v>30</v>
      </c>
      <c r="O113" s="4">
        <v>1</v>
      </c>
    </row>
    <row r="114" spans="1:15" ht="15.75" x14ac:dyDescent="0.2">
      <c r="A114" t="s">
        <v>232</v>
      </c>
      <c r="B114" s="2">
        <v>101966390</v>
      </c>
      <c r="C114" s="4">
        <f t="shared" si="24"/>
        <v>110.93</v>
      </c>
      <c r="D114" s="4">
        <v>80</v>
      </c>
      <c r="E114" s="6">
        <v>0.15</v>
      </c>
      <c r="F114" s="6">
        <v>0.1</v>
      </c>
      <c r="G114" s="5">
        <f t="shared" si="25"/>
        <v>229</v>
      </c>
      <c r="H114" s="4">
        <f t="shared" si="26"/>
        <v>13.672000000000001</v>
      </c>
      <c r="I114">
        <f t="shared" si="27"/>
        <v>10</v>
      </c>
      <c r="J114" s="4">
        <f t="shared" si="28"/>
        <v>2.16</v>
      </c>
      <c r="K114" s="4">
        <f t="shared" si="29"/>
        <v>1.5120000000000002</v>
      </c>
      <c r="N114" s="4">
        <v>30</v>
      </c>
      <c r="O114" s="4">
        <v>1</v>
      </c>
    </row>
    <row r="115" spans="1:15" ht="15.75" x14ac:dyDescent="0.2">
      <c r="A115" t="s">
        <v>233</v>
      </c>
      <c r="B115" s="2">
        <v>101967905</v>
      </c>
      <c r="C115" s="4">
        <f t="shared" si="24"/>
        <v>110.93</v>
      </c>
      <c r="D115" s="4">
        <v>80</v>
      </c>
      <c r="E115" s="6">
        <v>0.15</v>
      </c>
      <c r="F115" s="6">
        <v>0.1</v>
      </c>
      <c r="G115" s="5">
        <f t="shared" si="25"/>
        <v>229</v>
      </c>
      <c r="H115" s="4">
        <f t="shared" si="26"/>
        <v>13.672000000000001</v>
      </c>
      <c r="I115">
        <f t="shared" si="27"/>
        <v>10</v>
      </c>
      <c r="J115" s="4">
        <f t="shared" si="28"/>
        <v>2.16</v>
      </c>
      <c r="K115" s="4">
        <f t="shared" si="29"/>
        <v>1.5120000000000002</v>
      </c>
      <c r="N115" s="4">
        <v>30</v>
      </c>
      <c r="O115" s="4">
        <v>1</v>
      </c>
    </row>
    <row r="116" spans="1:15" ht="15.75" x14ac:dyDescent="0.2">
      <c r="A116" t="s">
        <v>234</v>
      </c>
      <c r="B116" s="2">
        <v>101967906</v>
      </c>
      <c r="C116" s="4">
        <f t="shared" si="24"/>
        <v>110.93</v>
      </c>
      <c r="D116" s="4">
        <v>80</v>
      </c>
      <c r="E116" s="6">
        <v>0.15</v>
      </c>
      <c r="F116" s="6">
        <v>0.1</v>
      </c>
      <c r="G116" s="5">
        <f t="shared" si="25"/>
        <v>229</v>
      </c>
      <c r="H116" s="4">
        <f t="shared" si="26"/>
        <v>13.672000000000001</v>
      </c>
      <c r="I116">
        <f t="shared" si="27"/>
        <v>10</v>
      </c>
      <c r="J116" s="4">
        <f t="shared" si="28"/>
        <v>2.16</v>
      </c>
      <c r="K116" s="4">
        <f t="shared" si="29"/>
        <v>1.5120000000000002</v>
      </c>
      <c r="N116" s="4">
        <v>30</v>
      </c>
      <c r="O116" s="4">
        <v>1</v>
      </c>
    </row>
    <row r="117" spans="1:15" ht="15.75" x14ac:dyDescent="0.2">
      <c r="A117" t="s">
        <v>235</v>
      </c>
      <c r="B117" s="2">
        <v>101967907</v>
      </c>
      <c r="C117" s="4">
        <f t="shared" si="24"/>
        <v>110.93</v>
      </c>
      <c r="D117" s="4">
        <v>80</v>
      </c>
      <c r="E117" s="6">
        <v>0.15</v>
      </c>
      <c r="F117" s="6">
        <v>0.1</v>
      </c>
      <c r="G117" s="5">
        <f t="shared" si="25"/>
        <v>229</v>
      </c>
      <c r="H117" s="4">
        <f t="shared" si="26"/>
        <v>13.672000000000001</v>
      </c>
      <c r="I117">
        <f t="shared" si="27"/>
        <v>10</v>
      </c>
      <c r="J117" s="4">
        <f t="shared" si="28"/>
        <v>2.16</v>
      </c>
      <c r="K117" s="4">
        <f t="shared" si="29"/>
        <v>1.5120000000000002</v>
      </c>
      <c r="N117" s="4">
        <v>30</v>
      </c>
      <c r="O117" s="4">
        <v>1</v>
      </c>
    </row>
    <row r="118" spans="1:15" ht="15.75" x14ac:dyDescent="0.2">
      <c r="A118" t="s">
        <v>236</v>
      </c>
      <c r="B118" s="2">
        <v>101967908</v>
      </c>
      <c r="C118" s="4">
        <f t="shared" si="24"/>
        <v>110.93</v>
      </c>
      <c r="D118" s="4">
        <v>80</v>
      </c>
      <c r="E118" s="6">
        <v>0.15</v>
      </c>
      <c r="F118" s="6">
        <v>0.1</v>
      </c>
      <c r="G118" s="5">
        <f t="shared" si="25"/>
        <v>229</v>
      </c>
      <c r="H118" s="4">
        <f t="shared" si="26"/>
        <v>13.672000000000001</v>
      </c>
      <c r="I118">
        <f t="shared" si="27"/>
        <v>10</v>
      </c>
      <c r="J118" s="4">
        <f t="shared" si="28"/>
        <v>2.16</v>
      </c>
      <c r="K118" s="4">
        <f t="shared" si="29"/>
        <v>1.5120000000000002</v>
      </c>
      <c r="N118" s="4">
        <v>30</v>
      </c>
      <c r="O118" s="4">
        <v>1</v>
      </c>
    </row>
    <row r="119" spans="1:15" ht="15.75" x14ac:dyDescent="0.2">
      <c r="A119" t="s">
        <v>237</v>
      </c>
      <c r="B119" s="2">
        <v>101968049</v>
      </c>
      <c r="C119" s="4">
        <f t="shared" si="24"/>
        <v>110.93</v>
      </c>
      <c r="D119" s="4">
        <v>80</v>
      </c>
      <c r="E119" s="6">
        <v>0.15</v>
      </c>
      <c r="F119" s="6">
        <v>0.1</v>
      </c>
      <c r="G119" s="5">
        <f t="shared" si="25"/>
        <v>229</v>
      </c>
      <c r="H119" s="4">
        <f t="shared" si="26"/>
        <v>13.672000000000001</v>
      </c>
      <c r="I119">
        <f t="shared" si="27"/>
        <v>10</v>
      </c>
      <c r="J119" s="4">
        <f t="shared" si="28"/>
        <v>2.16</v>
      </c>
      <c r="K119" s="4">
        <f t="shared" si="29"/>
        <v>1.5120000000000002</v>
      </c>
      <c r="N119" s="4">
        <v>30</v>
      </c>
      <c r="O119" s="4">
        <v>1</v>
      </c>
    </row>
    <row r="120" spans="1:15" ht="15.75" x14ac:dyDescent="0.2">
      <c r="A120" t="s">
        <v>238</v>
      </c>
      <c r="B120" s="2">
        <v>101968052</v>
      </c>
      <c r="C120" s="4">
        <f t="shared" si="24"/>
        <v>110.93</v>
      </c>
      <c r="D120" s="4">
        <v>80</v>
      </c>
      <c r="E120" s="6">
        <v>0.15</v>
      </c>
      <c r="F120" s="6">
        <v>0.1</v>
      </c>
      <c r="G120" s="5">
        <f t="shared" si="25"/>
        <v>229</v>
      </c>
      <c r="H120" s="4">
        <f t="shared" si="26"/>
        <v>13.672000000000001</v>
      </c>
      <c r="I120">
        <f t="shared" si="27"/>
        <v>10</v>
      </c>
      <c r="J120" s="4">
        <f t="shared" si="28"/>
        <v>2.16</v>
      </c>
      <c r="K120" s="4">
        <f t="shared" si="29"/>
        <v>1.5120000000000002</v>
      </c>
      <c r="N120" s="4">
        <v>30</v>
      </c>
      <c r="O120" s="4">
        <v>1</v>
      </c>
    </row>
    <row r="121" spans="1:15" ht="15.75" x14ac:dyDescent="0.2">
      <c r="A121" t="s">
        <v>239</v>
      </c>
      <c r="B121" s="2">
        <v>101968054</v>
      </c>
      <c r="C121" s="4">
        <f t="shared" si="24"/>
        <v>110.93</v>
      </c>
      <c r="D121" s="4">
        <v>80</v>
      </c>
      <c r="E121" s="6">
        <v>0.15</v>
      </c>
      <c r="F121" s="6">
        <v>0.1</v>
      </c>
      <c r="G121" s="5">
        <f t="shared" si="25"/>
        <v>229</v>
      </c>
      <c r="H121" s="4">
        <f t="shared" si="26"/>
        <v>13.672000000000001</v>
      </c>
      <c r="I121">
        <f t="shared" si="27"/>
        <v>10</v>
      </c>
      <c r="J121" s="4">
        <f t="shared" si="28"/>
        <v>2.16</v>
      </c>
      <c r="K121" s="4">
        <f t="shared" si="29"/>
        <v>1.5120000000000002</v>
      </c>
      <c r="N121" s="4">
        <v>30</v>
      </c>
      <c r="O121" s="4">
        <v>1</v>
      </c>
    </row>
    <row r="122" spans="1:15" ht="15.75" x14ac:dyDescent="0.2">
      <c r="A122" t="s">
        <v>240</v>
      </c>
      <c r="B122" s="2">
        <v>101968056</v>
      </c>
      <c r="C122" s="4">
        <f t="shared" si="24"/>
        <v>110.93</v>
      </c>
      <c r="D122" s="4">
        <v>80</v>
      </c>
      <c r="E122" s="6">
        <v>0.15</v>
      </c>
      <c r="F122" s="6">
        <v>0.1</v>
      </c>
      <c r="G122" s="5">
        <f t="shared" si="25"/>
        <v>229</v>
      </c>
      <c r="H122" s="4">
        <f t="shared" si="26"/>
        <v>13.672000000000001</v>
      </c>
      <c r="I122">
        <f t="shared" si="27"/>
        <v>10</v>
      </c>
      <c r="J122" s="4">
        <f t="shared" si="28"/>
        <v>2.16</v>
      </c>
      <c r="K122" s="4">
        <f t="shared" si="29"/>
        <v>1.5120000000000002</v>
      </c>
      <c r="N122" s="4">
        <v>30</v>
      </c>
      <c r="O122" s="4">
        <v>1</v>
      </c>
    </row>
    <row r="123" spans="1:15" ht="15.75" x14ac:dyDescent="0.2">
      <c r="A123" t="s">
        <v>241</v>
      </c>
      <c r="B123" s="2">
        <v>101968058</v>
      </c>
      <c r="C123" s="4">
        <f t="shared" si="24"/>
        <v>110.93</v>
      </c>
      <c r="D123" s="4">
        <v>80</v>
      </c>
      <c r="E123" s="6">
        <v>0.15</v>
      </c>
      <c r="F123" s="6">
        <v>0.1</v>
      </c>
      <c r="G123" s="5">
        <f t="shared" si="25"/>
        <v>229</v>
      </c>
      <c r="H123" s="4">
        <f t="shared" si="26"/>
        <v>13.672000000000001</v>
      </c>
      <c r="I123">
        <f t="shared" si="27"/>
        <v>10</v>
      </c>
      <c r="J123" s="4">
        <f t="shared" si="28"/>
        <v>2.16</v>
      </c>
      <c r="K123" s="4">
        <f t="shared" si="29"/>
        <v>1.5120000000000002</v>
      </c>
      <c r="N123" s="4">
        <v>30</v>
      </c>
      <c r="O123" s="4">
        <v>1</v>
      </c>
    </row>
    <row r="124" spans="1:15" ht="15.75" x14ac:dyDescent="0.2">
      <c r="A124" t="s">
        <v>242</v>
      </c>
      <c r="B124" s="2">
        <v>101968059</v>
      </c>
      <c r="C124" s="4">
        <f t="shared" si="24"/>
        <v>110.93</v>
      </c>
      <c r="D124" s="4">
        <v>80</v>
      </c>
      <c r="E124" s="6">
        <v>0.15</v>
      </c>
      <c r="F124" s="6">
        <v>0.1</v>
      </c>
      <c r="G124" s="5">
        <f t="shared" si="25"/>
        <v>229</v>
      </c>
      <c r="H124" s="4">
        <f t="shared" si="26"/>
        <v>13.672000000000001</v>
      </c>
      <c r="I124">
        <f t="shared" si="27"/>
        <v>10</v>
      </c>
      <c r="J124" s="4">
        <f t="shared" si="28"/>
        <v>2.16</v>
      </c>
      <c r="K124" s="4">
        <f t="shared" si="29"/>
        <v>1.5120000000000002</v>
      </c>
      <c r="N124" s="4">
        <v>30</v>
      </c>
      <c r="O124" s="4">
        <v>1</v>
      </c>
    </row>
    <row r="125" spans="1:15" ht="15.75" x14ac:dyDescent="0.2">
      <c r="A125" t="s">
        <v>243</v>
      </c>
      <c r="B125" s="2">
        <v>101970972</v>
      </c>
      <c r="C125" s="4">
        <f t="shared" si="24"/>
        <v>110.93</v>
      </c>
      <c r="D125" s="4">
        <v>80</v>
      </c>
      <c r="E125" s="6">
        <v>0.15</v>
      </c>
      <c r="F125" s="6">
        <v>0.1</v>
      </c>
      <c r="G125" s="5">
        <f t="shared" si="25"/>
        <v>229</v>
      </c>
      <c r="H125" s="4">
        <f t="shared" si="26"/>
        <v>13.672000000000001</v>
      </c>
      <c r="I125">
        <f t="shared" si="27"/>
        <v>10</v>
      </c>
      <c r="J125" s="4">
        <f t="shared" si="28"/>
        <v>2.16</v>
      </c>
      <c r="K125" s="4">
        <f t="shared" si="29"/>
        <v>1.5120000000000002</v>
      </c>
      <c r="N125" s="4">
        <v>30</v>
      </c>
      <c r="O125" s="4">
        <v>1</v>
      </c>
    </row>
    <row r="126" spans="1:15" ht="15.75" x14ac:dyDescent="0.2">
      <c r="A126" t="s">
        <v>244</v>
      </c>
      <c r="B126" s="2">
        <v>102008354</v>
      </c>
      <c r="C126" s="4">
        <f t="shared" si="24"/>
        <v>110.93</v>
      </c>
      <c r="D126" s="4">
        <v>80</v>
      </c>
      <c r="E126" s="6">
        <v>0.15</v>
      </c>
      <c r="F126" s="6">
        <v>0.1</v>
      </c>
      <c r="G126" s="5">
        <f t="shared" si="25"/>
        <v>229</v>
      </c>
      <c r="H126" s="4">
        <f t="shared" si="26"/>
        <v>13.672000000000001</v>
      </c>
      <c r="I126">
        <f t="shared" si="27"/>
        <v>10</v>
      </c>
      <c r="J126" s="4">
        <f t="shared" si="28"/>
        <v>2.16</v>
      </c>
      <c r="K126" s="4">
        <f t="shared" si="29"/>
        <v>1.5120000000000002</v>
      </c>
      <c r="N126" s="4">
        <v>30</v>
      </c>
      <c r="O126" s="4">
        <v>1</v>
      </c>
    </row>
    <row r="127" spans="1:15" ht="15.75" x14ac:dyDescent="0.2">
      <c r="A127" t="s">
        <v>245</v>
      </c>
      <c r="B127" s="2">
        <v>102010720</v>
      </c>
      <c r="C127" s="4">
        <f t="shared" ref="C127:C190" si="30">ROUND((H127+N127+M127)*2.54,2)</f>
        <v>110.93</v>
      </c>
      <c r="D127" s="4">
        <v>80</v>
      </c>
      <c r="E127" s="6">
        <v>0.15</v>
      </c>
      <c r="F127" s="6">
        <v>0.1</v>
      </c>
      <c r="G127" s="5">
        <f t="shared" ref="G127:G190" si="31">ROUND((C127+D127)/(1-F127*(1+E127)-5%),0)</f>
        <v>229</v>
      </c>
      <c r="H127" s="4">
        <f t="shared" ref="H127:H190" si="32">I127+J127+K127</f>
        <v>13.672000000000001</v>
      </c>
      <c r="I127">
        <f t="shared" ref="I127:I190" si="33">L127*79+10</f>
        <v>10</v>
      </c>
      <c r="J127" s="4">
        <f t="shared" ref="J127:J190" si="34">O127*7.2*0.3</f>
        <v>2.16</v>
      </c>
      <c r="K127" s="4">
        <f t="shared" ref="K127:K190" si="35">(O127*1.1*7.2+J127)*0.15</f>
        <v>1.5120000000000002</v>
      </c>
      <c r="N127" s="4">
        <v>30</v>
      </c>
      <c r="O127" s="4">
        <v>1</v>
      </c>
    </row>
    <row r="128" spans="1:15" ht="15.75" x14ac:dyDescent="0.2">
      <c r="A128" t="s">
        <v>246</v>
      </c>
      <c r="B128" s="2">
        <v>102143862</v>
      </c>
      <c r="C128" s="4">
        <f t="shared" si="30"/>
        <v>110.93</v>
      </c>
      <c r="D128" s="4">
        <v>80</v>
      </c>
      <c r="E128" s="6">
        <v>0.15</v>
      </c>
      <c r="F128" s="6">
        <v>0.1</v>
      </c>
      <c r="G128" s="5">
        <f t="shared" si="31"/>
        <v>229</v>
      </c>
      <c r="H128" s="4">
        <f t="shared" si="32"/>
        <v>13.672000000000001</v>
      </c>
      <c r="I128">
        <f t="shared" si="33"/>
        <v>10</v>
      </c>
      <c r="J128" s="4">
        <f t="shared" si="34"/>
        <v>2.16</v>
      </c>
      <c r="K128" s="4">
        <f t="shared" si="35"/>
        <v>1.5120000000000002</v>
      </c>
      <c r="N128" s="4">
        <v>30</v>
      </c>
      <c r="O128" s="4">
        <v>1</v>
      </c>
    </row>
    <row r="129" spans="1:15" ht="15.75" x14ac:dyDescent="0.2">
      <c r="A129" t="s">
        <v>247</v>
      </c>
      <c r="B129" s="2">
        <v>102187009</v>
      </c>
      <c r="C129" s="4">
        <f t="shared" si="30"/>
        <v>110.93</v>
      </c>
      <c r="D129" s="4">
        <v>80</v>
      </c>
      <c r="E129" s="6">
        <v>0.15</v>
      </c>
      <c r="F129" s="6">
        <v>0.1</v>
      </c>
      <c r="G129" s="5">
        <f t="shared" si="31"/>
        <v>229</v>
      </c>
      <c r="H129" s="4">
        <f t="shared" si="32"/>
        <v>13.672000000000001</v>
      </c>
      <c r="I129">
        <f t="shared" si="33"/>
        <v>10</v>
      </c>
      <c r="J129" s="4">
        <f t="shared" si="34"/>
        <v>2.16</v>
      </c>
      <c r="K129" s="4">
        <f t="shared" si="35"/>
        <v>1.5120000000000002</v>
      </c>
      <c r="N129" s="4">
        <v>30</v>
      </c>
      <c r="O129" s="4">
        <v>1</v>
      </c>
    </row>
    <row r="130" spans="1:15" ht="15.75" x14ac:dyDescent="0.2">
      <c r="A130" t="s">
        <v>248</v>
      </c>
      <c r="B130" s="2">
        <v>102233688</v>
      </c>
      <c r="C130" s="4">
        <f t="shared" si="30"/>
        <v>110.93</v>
      </c>
      <c r="D130" s="4">
        <v>80</v>
      </c>
      <c r="E130" s="6">
        <v>0.15</v>
      </c>
      <c r="F130" s="6">
        <v>0.1</v>
      </c>
      <c r="G130" s="5">
        <f t="shared" si="31"/>
        <v>229</v>
      </c>
      <c r="H130" s="4">
        <f t="shared" si="32"/>
        <v>13.672000000000001</v>
      </c>
      <c r="I130">
        <f t="shared" si="33"/>
        <v>10</v>
      </c>
      <c r="J130" s="4">
        <f t="shared" si="34"/>
        <v>2.16</v>
      </c>
      <c r="K130" s="4">
        <f t="shared" si="35"/>
        <v>1.5120000000000002</v>
      </c>
      <c r="N130" s="4">
        <v>30</v>
      </c>
      <c r="O130" s="4">
        <v>1</v>
      </c>
    </row>
    <row r="131" spans="1:15" ht="15.75" x14ac:dyDescent="0.2">
      <c r="A131" t="s">
        <v>249</v>
      </c>
      <c r="B131" s="2">
        <v>102261350</v>
      </c>
      <c r="C131" s="4">
        <f t="shared" si="30"/>
        <v>241.36</v>
      </c>
      <c r="D131" s="4">
        <v>80</v>
      </c>
      <c r="E131" s="6">
        <v>0.15</v>
      </c>
      <c r="F131" s="6">
        <v>0.1</v>
      </c>
      <c r="G131" s="5">
        <f t="shared" si="31"/>
        <v>385</v>
      </c>
      <c r="H131" s="4">
        <f t="shared" si="32"/>
        <v>65.022000000000006</v>
      </c>
      <c r="I131">
        <f t="shared" si="33"/>
        <v>61.35</v>
      </c>
      <c r="J131" s="4">
        <f t="shared" si="34"/>
        <v>2.16</v>
      </c>
      <c r="K131" s="4">
        <f t="shared" si="35"/>
        <v>1.5120000000000002</v>
      </c>
      <c r="L131">
        <v>0.65</v>
      </c>
      <c r="N131" s="4">
        <v>30</v>
      </c>
      <c r="O131" s="4">
        <v>1</v>
      </c>
    </row>
    <row r="132" spans="1:15" ht="15.75" x14ac:dyDescent="0.2">
      <c r="A132" t="s">
        <v>250</v>
      </c>
      <c r="B132" s="2">
        <v>102263997</v>
      </c>
      <c r="C132" s="4">
        <f t="shared" si="30"/>
        <v>110.93</v>
      </c>
      <c r="D132" s="4">
        <v>80</v>
      </c>
      <c r="E132" s="6">
        <v>0.15</v>
      </c>
      <c r="F132" s="6">
        <v>0.1</v>
      </c>
      <c r="G132" s="5">
        <f t="shared" si="31"/>
        <v>229</v>
      </c>
      <c r="H132" s="4">
        <f t="shared" si="32"/>
        <v>13.672000000000001</v>
      </c>
      <c r="I132">
        <f t="shared" si="33"/>
        <v>10</v>
      </c>
      <c r="J132" s="4">
        <f t="shared" si="34"/>
        <v>2.16</v>
      </c>
      <c r="K132" s="4">
        <f t="shared" si="35"/>
        <v>1.5120000000000002</v>
      </c>
      <c r="N132" s="4">
        <v>30</v>
      </c>
      <c r="O132" s="4">
        <v>1</v>
      </c>
    </row>
    <row r="133" spans="1:15" ht="15.75" x14ac:dyDescent="0.2">
      <c r="A133" t="s">
        <v>251</v>
      </c>
      <c r="B133" s="2">
        <v>102263998</v>
      </c>
      <c r="C133" s="4">
        <f t="shared" si="30"/>
        <v>110.93</v>
      </c>
      <c r="D133" s="4">
        <v>80</v>
      </c>
      <c r="E133" s="6">
        <v>0.15</v>
      </c>
      <c r="F133" s="6">
        <v>0.1</v>
      </c>
      <c r="G133" s="5">
        <f t="shared" si="31"/>
        <v>229</v>
      </c>
      <c r="H133" s="4">
        <f t="shared" si="32"/>
        <v>13.672000000000001</v>
      </c>
      <c r="I133">
        <f t="shared" si="33"/>
        <v>10</v>
      </c>
      <c r="J133" s="4">
        <f t="shared" si="34"/>
        <v>2.16</v>
      </c>
      <c r="K133" s="4">
        <f t="shared" si="35"/>
        <v>1.5120000000000002</v>
      </c>
      <c r="N133" s="4">
        <v>30</v>
      </c>
      <c r="O133" s="4">
        <v>1</v>
      </c>
    </row>
    <row r="134" spans="1:15" ht="15.75" x14ac:dyDescent="0.2">
      <c r="A134" t="s">
        <v>252</v>
      </c>
      <c r="B134" s="2">
        <v>102264712</v>
      </c>
      <c r="C134" s="4">
        <f t="shared" si="30"/>
        <v>110.93</v>
      </c>
      <c r="D134" s="4">
        <v>80</v>
      </c>
      <c r="E134" s="6">
        <v>0.15</v>
      </c>
      <c r="F134" s="6">
        <v>0.1</v>
      </c>
      <c r="G134" s="5">
        <f t="shared" si="31"/>
        <v>229</v>
      </c>
      <c r="H134" s="4">
        <f t="shared" si="32"/>
        <v>13.672000000000001</v>
      </c>
      <c r="I134">
        <f t="shared" si="33"/>
        <v>10</v>
      </c>
      <c r="J134" s="4">
        <f t="shared" si="34"/>
        <v>2.16</v>
      </c>
      <c r="K134" s="4">
        <f t="shared" si="35"/>
        <v>1.5120000000000002</v>
      </c>
      <c r="N134" s="4">
        <v>30</v>
      </c>
      <c r="O134" s="4">
        <v>1</v>
      </c>
    </row>
    <row r="135" spans="1:15" ht="15.75" x14ac:dyDescent="0.2">
      <c r="A135" t="s">
        <v>253</v>
      </c>
      <c r="B135" s="2">
        <v>102274656</v>
      </c>
      <c r="C135" s="4">
        <f t="shared" si="30"/>
        <v>110.93</v>
      </c>
      <c r="D135" s="4">
        <v>80</v>
      </c>
      <c r="E135" s="6">
        <v>0.15</v>
      </c>
      <c r="F135" s="6">
        <v>0.1</v>
      </c>
      <c r="G135" s="5">
        <f t="shared" si="31"/>
        <v>229</v>
      </c>
      <c r="H135" s="4">
        <f t="shared" si="32"/>
        <v>13.672000000000001</v>
      </c>
      <c r="I135">
        <f t="shared" si="33"/>
        <v>10</v>
      </c>
      <c r="J135" s="4">
        <f t="shared" si="34"/>
        <v>2.16</v>
      </c>
      <c r="K135" s="4">
        <f t="shared" si="35"/>
        <v>1.5120000000000002</v>
      </c>
      <c r="N135" s="4">
        <v>30</v>
      </c>
      <c r="O135" s="4">
        <v>1</v>
      </c>
    </row>
    <row r="136" spans="1:15" ht="15.75" x14ac:dyDescent="0.2">
      <c r="A136" t="s">
        <v>254</v>
      </c>
      <c r="B136" s="2">
        <v>102274657</v>
      </c>
      <c r="C136" s="4">
        <f t="shared" si="30"/>
        <v>110.93</v>
      </c>
      <c r="D136" s="4">
        <v>80</v>
      </c>
      <c r="E136" s="6">
        <v>0.15</v>
      </c>
      <c r="F136" s="6">
        <v>0.1</v>
      </c>
      <c r="G136" s="5">
        <f t="shared" si="31"/>
        <v>229</v>
      </c>
      <c r="H136" s="4">
        <f t="shared" si="32"/>
        <v>13.672000000000001</v>
      </c>
      <c r="I136">
        <f t="shared" si="33"/>
        <v>10</v>
      </c>
      <c r="J136" s="4">
        <f t="shared" si="34"/>
        <v>2.16</v>
      </c>
      <c r="K136" s="4">
        <f t="shared" si="35"/>
        <v>1.5120000000000002</v>
      </c>
      <c r="N136" s="4">
        <v>30</v>
      </c>
      <c r="O136" s="4">
        <v>1</v>
      </c>
    </row>
    <row r="137" spans="1:15" ht="15.75" x14ac:dyDescent="0.2">
      <c r="A137" t="s">
        <v>255</v>
      </c>
      <c r="B137" s="2">
        <v>102274658</v>
      </c>
      <c r="C137" s="4">
        <f t="shared" si="30"/>
        <v>110.93</v>
      </c>
      <c r="D137" s="4">
        <v>80</v>
      </c>
      <c r="E137" s="6">
        <v>0.15</v>
      </c>
      <c r="F137" s="6">
        <v>0.1</v>
      </c>
      <c r="G137" s="5">
        <f t="shared" si="31"/>
        <v>229</v>
      </c>
      <c r="H137" s="4">
        <f t="shared" si="32"/>
        <v>13.672000000000001</v>
      </c>
      <c r="I137">
        <f t="shared" si="33"/>
        <v>10</v>
      </c>
      <c r="J137" s="4">
        <f t="shared" si="34"/>
        <v>2.16</v>
      </c>
      <c r="K137" s="4">
        <f t="shared" si="35"/>
        <v>1.5120000000000002</v>
      </c>
      <c r="N137" s="4">
        <v>30</v>
      </c>
      <c r="O137" s="4">
        <v>1</v>
      </c>
    </row>
    <row r="138" spans="1:15" ht="15.75" x14ac:dyDescent="0.2">
      <c r="A138" t="s">
        <v>256</v>
      </c>
      <c r="B138" s="2">
        <v>102275640</v>
      </c>
      <c r="C138" s="4">
        <f t="shared" si="30"/>
        <v>110.93</v>
      </c>
      <c r="D138" s="4">
        <v>80</v>
      </c>
      <c r="E138" s="6">
        <v>0.15</v>
      </c>
      <c r="F138" s="6">
        <v>0.1</v>
      </c>
      <c r="G138" s="5">
        <f t="shared" si="31"/>
        <v>229</v>
      </c>
      <c r="H138" s="4">
        <f t="shared" si="32"/>
        <v>13.672000000000001</v>
      </c>
      <c r="I138">
        <f t="shared" si="33"/>
        <v>10</v>
      </c>
      <c r="J138" s="4">
        <f t="shared" si="34"/>
        <v>2.16</v>
      </c>
      <c r="K138" s="4">
        <f t="shared" si="35"/>
        <v>1.5120000000000002</v>
      </c>
      <c r="N138" s="4">
        <v>30</v>
      </c>
      <c r="O138" s="4">
        <v>1</v>
      </c>
    </row>
    <row r="139" spans="1:15" ht="15.75" x14ac:dyDescent="0.2">
      <c r="A139" t="s">
        <v>257</v>
      </c>
      <c r="B139" s="2">
        <v>102277325</v>
      </c>
      <c r="C139" s="4">
        <f t="shared" si="30"/>
        <v>110.93</v>
      </c>
      <c r="D139" s="4">
        <v>80</v>
      </c>
      <c r="E139" s="6">
        <v>0.15</v>
      </c>
      <c r="F139" s="6">
        <v>0.1</v>
      </c>
      <c r="G139" s="5">
        <f t="shared" si="31"/>
        <v>229</v>
      </c>
      <c r="H139" s="4">
        <f t="shared" si="32"/>
        <v>13.672000000000001</v>
      </c>
      <c r="I139">
        <f t="shared" si="33"/>
        <v>10</v>
      </c>
      <c r="J139" s="4">
        <f t="shared" si="34"/>
        <v>2.16</v>
      </c>
      <c r="K139" s="4">
        <f t="shared" si="35"/>
        <v>1.5120000000000002</v>
      </c>
      <c r="N139" s="4">
        <v>30</v>
      </c>
      <c r="O139" s="4">
        <v>1</v>
      </c>
    </row>
    <row r="140" spans="1:15" ht="15.75" x14ac:dyDescent="0.2">
      <c r="A140" t="s">
        <v>258</v>
      </c>
      <c r="B140" s="2">
        <v>102334599</v>
      </c>
      <c r="C140" s="4">
        <f t="shared" si="30"/>
        <v>110.93</v>
      </c>
      <c r="D140" s="4">
        <v>80</v>
      </c>
      <c r="E140" s="6">
        <v>0.15</v>
      </c>
      <c r="F140" s="6">
        <v>0.1</v>
      </c>
      <c r="G140" s="5">
        <f t="shared" si="31"/>
        <v>229</v>
      </c>
      <c r="H140" s="4">
        <f t="shared" si="32"/>
        <v>13.672000000000001</v>
      </c>
      <c r="I140">
        <f t="shared" si="33"/>
        <v>10</v>
      </c>
      <c r="J140" s="4">
        <f t="shared" si="34"/>
        <v>2.16</v>
      </c>
      <c r="K140" s="4">
        <f t="shared" si="35"/>
        <v>1.5120000000000002</v>
      </c>
      <c r="N140" s="4">
        <v>30</v>
      </c>
      <c r="O140" s="4">
        <v>1</v>
      </c>
    </row>
    <row r="141" spans="1:15" ht="15.75" x14ac:dyDescent="0.2">
      <c r="A141" t="s">
        <v>259</v>
      </c>
      <c r="B141" s="2">
        <v>102336196</v>
      </c>
      <c r="C141" s="4">
        <f t="shared" si="30"/>
        <v>110.93</v>
      </c>
      <c r="D141" s="4">
        <v>80</v>
      </c>
      <c r="E141" s="6">
        <v>0.15</v>
      </c>
      <c r="F141" s="6">
        <v>0.1</v>
      </c>
      <c r="G141" s="5">
        <f t="shared" si="31"/>
        <v>229</v>
      </c>
      <c r="H141" s="4">
        <f t="shared" si="32"/>
        <v>13.672000000000001</v>
      </c>
      <c r="I141">
        <f t="shared" si="33"/>
        <v>10</v>
      </c>
      <c r="J141" s="4">
        <f t="shared" si="34"/>
        <v>2.16</v>
      </c>
      <c r="K141" s="4">
        <f t="shared" si="35"/>
        <v>1.5120000000000002</v>
      </c>
      <c r="N141" s="4">
        <v>30</v>
      </c>
      <c r="O141" s="4">
        <v>1</v>
      </c>
    </row>
    <row r="142" spans="1:15" ht="15.75" x14ac:dyDescent="0.2">
      <c r="A142" t="s">
        <v>260</v>
      </c>
      <c r="B142" s="2">
        <v>102336197</v>
      </c>
      <c r="C142" s="4">
        <f t="shared" si="30"/>
        <v>110.93</v>
      </c>
      <c r="D142" s="4">
        <v>80</v>
      </c>
      <c r="E142" s="6">
        <v>0.15</v>
      </c>
      <c r="F142" s="6">
        <v>0.1</v>
      </c>
      <c r="G142" s="5">
        <f t="shared" si="31"/>
        <v>229</v>
      </c>
      <c r="H142" s="4">
        <f t="shared" si="32"/>
        <v>13.672000000000001</v>
      </c>
      <c r="I142">
        <f t="shared" si="33"/>
        <v>10</v>
      </c>
      <c r="J142" s="4">
        <f t="shared" si="34"/>
        <v>2.16</v>
      </c>
      <c r="K142" s="4">
        <f t="shared" si="35"/>
        <v>1.5120000000000002</v>
      </c>
      <c r="N142" s="4">
        <v>30</v>
      </c>
      <c r="O142" s="4">
        <v>1</v>
      </c>
    </row>
    <row r="143" spans="1:15" ht="15.75" x14ac:dyDescent="0.2">
      <c r="A143" t="s">
        <v>261</v>
      </c>
      <c r="B143" s="2">
        <v>102336198</v>
      </c>
      <c r="C143" s="4">
        <f t="shared" si="30"/>
        <v>110.93</v>
      </c>
      <c r="D143" s="4">
        <v>80</v>
      </c>
      <c r="E143" s="6">
        <v>0.15</v>
      </c>
      <c r="F143" s="6">
        <v>0.1</v>
      </c>
      <c r="G143" s="5">
        <f t="shared" si="31"/>
        <v>229</v>
      </c>
      <c r="H143" s="4">
        <f t="shared" si="32"/>
        <v>13.672000000000001</v>
      </c>
      <c r="I143">
        <f t="shared" si="33"/>
        <v>10</v>
      </c>
      <c r="J143" s="4">
        <f t="shared" si="34"/>
        <v>2.16</v>
      </c>
      <c r="K143" s="4">
        <f t="shared" si="35"/>
        <v>1.5120000000000002</v>
      </c>
      <c r="N143" s="4">
        <v>30</v>
      </c>
      <c r="O143" s="4">
        <v>1</v>
      </c>
    </row>
    <row r="144" spans="1:15" ht="15.75" x14ac:dyDescent="0.2">
      <c r="A144" t="s">
        <v>262</v>
      </c>
      <c r="B144" s="2">
        <v>102412024</v>
      </c>
      <c r="C144" s="4">
        <f t="shared" si="30"/>
        <v>110.93</v>
      </c>
      <c r="D144" s="4">
        <v>80</v>
      </c>
      <c r="E144" s="6">
        <v>0.15</v>
      </c>
      <c r="F144" s="6">
        <v>0.1</v>
      </c>
      <c r="G144" s="5">
        <f t="shared" si="31"/>
        <v>229</v>
      </c>
      <c r="H144" s="4">
        <f t="shared" si="32"/>
        <v>13.672000000000001</v>
      </c>
      <c r="I144">
        <f t="shared" si="33"/>
        <v>10</v>
      </c>
      <c r="J144" s="4">
        <f t="shared" si="34"/>
        <v>2.16</v>
      </c>
      <c r="K144" s="4">
        <f t="shared" si="35"/>
        <v>1.5120000000000002</v>
      </c>
      <c r="N144" s="4">
        <v>30</v>
      </c>
      <c r="O144" s="4">
        <v>1</v>
      </c>
    </row>
    <row r="145" spans="1:15" ht="15.75" x14ac:dyDescent="0.2">
      <c r="A145" t="s">
        <v>263</v>
      </c>
      <c r="B145" s="2">
        <v>102412026</v>
      </c>
      <c r="C145" s="4">
        <f t="shared" si="30"/>
        <v>110.93</v>
      </c>
      <c r="D145" s="4">
        <v>80</v>
      </c>
      <c r="E145" s="6">
        <v>0.15</v>
      </c>
      <c r="F145" s="6">
        <v>0.1</v>
      </c>
      <c r="G145" s="5">
        <f t="shared" si="31"/>
        <v>229</v>
      </c>
      <c r="H145" s="4">
        <f t="shared" si="32"/>
        <v>13.672000000000001</v>
      </c>
      <c r="I145">
        <f t="shared" si="33"/>
        <v>10</v>
      </c>
      <c r="J145" s="4">
        <f t="shared" si="34"/>
        <v>2.16</v>
      </c>
      <c r="K145" s="4">
        <f t="shared" si="35"/>
        <v>1.5120000000000002</v>
      </c>
      <c r="N145" s="4">
        <v>30</v>
      </c>
      <c r="O145" s="4">
        <v>1</v>
      </c>
    </row>
    <row r="146" spans="1:15" ht="15.75" x14ac:dyDescent="0.2">
      <c r="A146" t="s">
        <v>264</v>
      </c>
      <c r="B146" s="2">
        <v>102419944</v>
      </c>
      <c r="C146" s="4">
        <f t="shared" si="30"/>
        <v>110.93</v>
      </c>
      <c r="D146" s="4">
        <v>80</v>
      </c>
      <c r="E146" s="6">
        <v>0.15</v>
      </c>
      <c r="F146" s="6">
        <v>0.1</v>
      </c>
      <c r="G146" s="5">
        <f t="shared" si="31"/>
        <v>229</v>
      </c>
      <c r="H146" s="4">
        <f t="shared" si="32"/>
        <v>13.672000000000001</v>
      </c>
      <c r="I146">
        <f t="shared" si="33"/>
        <v>10</v>
      </c>
      <c r="J146" s="4">
        <f t="shared" si="34"/>
        <v>2.16</v>
      </c>
      <c r="K146" s="4">
        <f t="shared" si="35"/>
        <v>1.5120000000000002</v>
      </c>
      <c r="N146" s="4">
        <v>30</v>
      </c>
      <c r="O146" s="4">
        <v>1</v>
      </c>
    </row>
    <row r="147" spans="1:15" ht="15.75" x14ac:dyDescent="0.2">
      <c r="A147" t="s">
        <v>265</v>
      </c>
      <c r="B147" s="2">
        <v>102436129</v>
      </c>
      <c r="C147" s="4">
        <f t="shared" si="30"/>
        <v>110.93</v>
      </c>
      <c r="D147" s="4">
        <v>80</v>
      </c>
      <c r="E147" s="6">
        <v>0.15</v>
      </c>
      <c r="F147" s="6">
        <v>0.1</v>
      </c>
      <c r="G147" s="5">
        <f t="shared" si="31"/>
        <v>229</v>
      </c>
      <c r="H147" s="4">
        <f t="shared" si="32"/>
        <v>13.672000000000001</v>
      </c>
      <c r="I147">
        <f t="shared" si="33"/>
        <v>10</v>
      </c>
      <c r="J147" s="4">
        <f t="shared" si="34"/>
        <v>2.16</v>
      </c>
      <c r="K147" s="4">
        <f t="shared" si="35"/>
        <v>1.5120000000000002</v>
      </c>
      <c r="N147" s="4">
        <v>30</v>
      </c>
      <c r="O147" s="4">
        <v>1</v>
      </c>
    </row>
    <row r="148" spans="1:15" ht="15.75" x14ac:dyDescent="0.2">
      <c r="A148" t="s">
        <v>266</v>
      </c>
      <c r="B148" s="2">
        <v>102446470</v>
      </c>
      <c r="C148" s="4">
        <f t="shared" si="30"/>
        <v>110.93</v>
      </c>
      <c r="D148" s="4">
        <v>80</v>
      </c>
      <c r="E148" s="6">
        <v>0.15</v>
      </c>
      <c r="F148" s="6">
        <v>0.1</v>
      </c>
      <c r="G148" s="5">
        <f t="shared" si="31"/>
        <v>229</v>
      </c>
      <c r="H148" s="4">
        <f t="shared" si="32"/>
        <v>13.672000000000001</v>
      </c>
      <c r="I148">
        <f t="shared" si="33"/>
        <v>10</v>
      </c>
      <c r="J148" s="4">
        <f t="shared" si="34"/>
        <v>2.16</v>
      </c>
      <c r="K148" s="4">
        <f t="shared" si="35"/>
        <v>1.5120000000000002</v>
      </c>
      <c r="N148" s="4">
        <v>30</v>
      </c>
      <c r="O148" s="4">
        <v>1</v>
      </c>
    </row>
    <row r="149" spans="1:15" ht="15.75" x14ac:dyDescent="0.2">
      <c r="A149" t="s">
        <v>267</v>
      </c>
      <c r="B149" s="2">
        <v>102446471</v>
      </c>
      <c r="C149" s="4">
        <f t="shared" si="30"/>
        <v>110.93</v>
      </c>
      <c r="D149" s="4">
        <v>80</v>
      </c>
      <c r="E149" s="6">
        <v>0.15</v>
      </c>
      <c r="F149" s="6">
        <v>0.1</v>
      </c>
      <c r="G149" s="5">
        <f t="shared" si="31"/>
        <v>229</v>
      </c>
      <c r="H149" s="4">
        <f t="shared" si="32"/>
        <v>13.672000000000001</v>
      </c>
      <c r="I149">
        <f t="shared" si="33"/>
        <v>10</v>
      </c>
      <c r="J149" s="4">
        <f t="shared" si="34"/>
        <v>2.16</v>
      </c>
      <c r="K149" s="4">
        <f t="shared" si="35"/>
        <v>1.5120000000000002</v>
      </c>
      <c r="N149" s="4">
        <v>30</v>
      </c>
      <c r="O149" s="4">
        <v>1</v>
      </c>
    </row>
    <row r="150" spans="1:15" ht="15.75" x14ac:dyDescent="0.2">
      <c r="A150" t="s">
        <v>268</v>
      </c>
      <c r="B150" s="2">
        <v>102456928</v>
      </c>
      <c r="C150" s="4">
        <f t="shared" si="30"/>
        <v>110.93</v>
      </c>
      <c r="D150" s="4">
        <v>80</v>
      </c>
      <c r="E150" s="6">
        <v>0.15</v>
      </c>
      <c r="F150" s="6">
        <v>0.1</v>
      </c>
      <c r="G150" s="5">
        <f t="shared" si="31"/>
        <v>229</v>
      </c>
      <c r="H150" s="4">
        <f t="shared" si="32"/>
        <v>13.672000000000001</v>
      </c>
      <c r="I150">
        <f t="shared" si="33"/>
        <v>10</v>
      </c>
      <c r="J150" s="4">
        <f t="shared" si="34"/>
        <v>2.16</v>
      </c>
      <c r="K150" s="4">
        <f t="shared" si="35"/>
        <v>1.5120000000000002</v>
      </c>
      <c r="N150" s="4">
        <v>30</v>
      </c>
      <c r="O150" s="4">
        <v>1</v>
      </c>
    </row>
    <row r="151" spans="1:15" ht="15.75" x14ac:dyDescent="0.2">
      <c r="A151" t="s">
        <v>269</v>
      </c>
      <c r="B151" s="2">
        <v>102456933</v>
      </c>
      <c r="C151" s="4">
        <f t="shared" si="30"/>
        <v>110.93</v>
      </c>
      <c r="D151" s="4">
        <v>80</v>
      </c>
      <c r="E151" s="6">
        <v>0.15</v>
      </c>
      <c r="F151" s="6">
        <v>0.1</v>
      </c>
      <c r="G151" s="5">
        <f t="shared" si="31"/>
        <v>229</v>
      </c>
      <c r="H151" s="4">
        <f t="shared" si="32"/>
        <v>13.672000000000001</v>
      </c>
      <c r="I151">
        <f t="shared" si="33"/>
        <v>10</v>
      </c>
      <c r="J151" s="4">
        <f t="shared" si="34"/>
        <v>2.16</v>
      </c>
      <c r="K151" s="4">
        <f t="shared" si="35"/>
        <v>1.5120000000000002</v>
      </c>
      <c r="N151" s="4">
        <v>30</v>
      </c>
      <c r="O151" s="4">
        <v>1</v>
      </c>
    </row>
    <row r="152" spans="1:15" ht="15.75" x14ac:dyDescent="0.2">
      <c r="A152" t="s">
        <v>270</v>
      </c>
      <c r="B152" s="2">
        <v>102460039</v>
      </c>
      <c r="C152" s="4">
        <f t="shared" si="30"/>
        <v>110.93</v>
      </c>
      <c r="D152" s="4">
        <v>80</v>
      </c>
      <c r="E152" s="6">
        <v>0.15</v>
      </c>
      <c r="F152" s="6">
        <v>0.1</v>
      </c>
      <c r="G152" s="5">
        <f t="shared" si="31"/>
        <v>229</v>
      </c>
      <c r="H152" s="4">
        <f t="shared" si="32"/>
        <v>13.672000000000001</v>
      </c>
      <c r="I152">
        <f t="shared" si="33"/>
        <v>10</v>
      </c>
      <c r="J152" s="4">
        <f t="shared" si="34"/>
        <v>2.16</v>
      </c>
      <c r="K152" s="4">
        <f t="shared" si="35"/>
        <v>1.5120000000000002</v>
      </c>
      <c r="N152" s="4">
        <v>30</v>
      </c>
      <c r="O152" s="4">
        <v>1</v>
      </c>
    </row>
    <row r="153" spans="1:15" ht="15.75" x14ac:dyDescent="0.2">
      <c r="A153" t="s">
        <v>271</v>
      </c>
      <c r="B153" s="2">
        <v>102460760</v>
      </c>
      <c r="C153" s="4">
        <f t="shared" si="30"/>
        <v>110.93</v>
      </c>
      <c r="D153" s="4">
        <v>80</v>
      </c>
      <c r="E153" s="6">
        <v>0.15</v>
      </c>
      <c r="F153" s="6">
        <v>0.1</v>
      </c>
      <c r="G153" s="5">
        <f t="shared" si="31"/>
        <v>229</v>
      </c>
      <c r="H153" s="4">
        <f t="shared" si="32"/>
        <v>13.672000000000001</v>
      </c>
      <c r="I153">
        <f t="shared" si="33"/>
        <v>10</v>
      </c>
      <c r="J153" s="4">
        <f t="shared" si="34"/>
        <v>2.16</v>
      </c>
      <c r="K153" s="4">
        <f t="shared" si="35"/>
        <v>1.5120000000000002</v>
      </c>
      <c r="N153" s="4">
        <v>30</v>
      </c>
      <c r="O153" s="4">
        <v>1</v>
      </c>
    </row>
    <row r="154" spans="1:15" ht="15.75" x14ac:dyDescent="0.2">
      <c r="A154" t="s">
        <v>272</v>
      </c>
      <c r="B154" s="2">
        <v>102467359</v>
      </c>
      <c r="C154" s="4">
        <f t="shared" si="30"/>
        <v>110.93</v>
      </c>
      <c r="D154" s="4">
        <v>80</v>
      </c>
      <c r="E154" s="6">
        <v>0.15</v>
      </c>
      <c r="F154" s="6">
        <v>0.1</v>
      </c>
      <c r="G154" s="5">
        <f t="shared" si="31"/>
        <v>229</v>
      </c>
      <c r="H154" s="4">
        <f t="shared" si="32"/>
        <v>13.672000000000001</v>
      </c>
      <c r="I154">
        <f t="shared" si="33"/>
        <v>10</v>
      </c>
      <c r="J154" s="4">
        <f t="shared" si="34"/>
        <v>2.16</v>
      </c>
      <c r="K154" s="4">
        <f t="shared" si="35"/>
        <v>1.5120000000000002</v>
      </c>
      <c r="N154" s="4">
        <v>30</v>
      </c>
      <c r="O154" s="4">
        <v>1</v>
      </c>
    </row>
    <row r="155" spans="1:15" ht="15.75" x14ac:dyDescent="0.2">
      <c r="A155" t="s">
        <v>273</v>
      </c>
      <c r="B155" s="2">
        <v>102474174</v>
      </c>
      <c r="C155" s="4">
        <f t="shared" si="30"/>
        <v>110.93</v>
      </c>
      <c r="D155" s="4">
        <v>80</v>
      </c>
      <c r="E155" s="6">
        <v>0.15</v>
      </c>
      <c r="F155" s="6">
        <v>0.1</v>
      </c>
      <c r="G155" s="5">
        <f t="shared" si="31"/>
        <v>229</v>
      </c>
      <c r="H155" s="4">
        <f t="shared" si="32"/>
        <v>13.672000000000001</v>
      </c>
      <c r="I155">
        <f t="shared" si="33"/>
        <v>10</v>
      </c>
      <c r="J155" s="4">
        <f t="shared" si="34"/>
        <v>2.16</v>
      </c>
      <c r="K155" s="4">
        <f t="shared" si="35"/>
        <v>1.5120000000000002</v>
      </c>
      <c r="N155" s="4">
        <v>30</v>
      </c>
      <c r="O155" s="4">
        <v>1</v>
      </c>
    </row>
    <row r="156" spans="1:15" ht="15.75" x14ac:dyDescent="0.2">
      <c r="A156" t="s">
        <v>274</v>
      </c>
      <c r="B156" s="2">
        <v>102513105</v>
      </c>
      <c r="C156" s="4">
        <f t="shared" si="30"/>
        <v>110.93</v>
      </c>
      <c r="D156" s="4">
        <v>80</v>
      </c>
      <c r="E156" s="6">
        <v>0.15</v>
      </c>
      <c r="F156" s="6">
        <v>0.1</v>
      </c>
      <c r="G156" s="5">
        <f t="shared" si="31"/>
        <v>229</v>
      </c>
      <c r="H156" s="4">
        <f t="shared" si="32"/>
        <v>13.672000000000001</v>
      </c>
      <c r="I156">
        <f t="shared" si="33"/>
        <v>10</v>
      </c>
      <c r="J156" s="4">
        <f t="shared" si="34"/>
        <v>2.16</v>
      </c>
      <c r="K156" s="4">
        <f t="shared" si="35"/>
        <v>1.5120000000000002</v>
      </c>
      <c r="N156" s="4">
        <v>30</v>
      </c>
      <c r="O156" s="4">
        <v>1</v>
      </c>
    </row>
    <row r="157" spans="1:15" ht="15.75" x14ac:dyDescent="0.2">
      <c r="A157" t="s">
        <v>275</v>
      </c>
      <c r="B157" s="2">
        <v>102513106</v>
      </c>
      <c r="C157" s="4">
        <f t="shared" si="30"/>
        <v>110.93</v>
      </c>
      <c r="D157" s="4">
        <v>80</v>
      </c>
      <c r="E157" s="6">
        <v>0.15</v>
      </c>
      <c r="F157" s="6">
        <v>0.1</v>
      </c>
      <c r="G157" s="5">
        <f t="shared" si="31"/>
        <v>229</v>
      </c>
      <c r="H157" s="4">
        <f t="shared" si="32"/>
        <v>13.672000000000001</v>
      </c>
      <c r="I157">
        <f t="shared" si="33"/>
        <v>10</v>
      </c>
      <c r="J157" s="4">
        <f t="shared" si="34"/>
        <v>2.16</v>
      </c>
      <c r="K157" s="4">
        <f t="shared" si="35"/>
        <v>1.5120000000000002</v>
      </c>
      <c r="N157" s="4">
        <v>30</v>
      </c>
      <c r="O157" s="4">
        <v>1</v>
      </c>
    </row>
    <row r="158" spans="1:15" ht="15.75" x14ac:dyDescent="0.2">
      <c r="A158" t="s">
        <v>276</v>
      </c>
      <c r="B158" s="2">
        <v>102513107</v>
      </c>
      <c r="C158" s="4">
        <f t="shared" si="30"/>
        <v>110.93</v>
      </c>
      <c r="D158" s="4">
        <v>80</v>
      </c>
      <c r="E158" s="6">
        <v>0.15</v>
      </c>
      <c r="F158" s="6">
        <v>0.1</v>
      </c>
      <c r="G158" s="5">
        <f t="shared" si="31"/>
        <v>229</v>
      </c>
      <c r="H158" s="4">
        <f t="shared" si="32"/>
        <v>13.672000000000001</v>
      </c>
      <c r="I158">
        <f t="shared" si="33"/>
        <v>10</v>
      </c>
      <c r="J158" s="4">
        <f t="shared" si="34"/>
        <v>2.16</v>
      </c>
      <c r="K158" s="4">
        <f t="shared" si="35"/>
        <v>1.5120000000000002</v>
      </c>
      <c r="N158" s="4">
        <v>30</v>
      </c>
      <c r="O158" s="4">
        <v>1</v>
      </c>
    </row>
    <row r="159" spans="1:15" ht="15.75" x14ac:dyDescent="0.2">
      <c r="A159" t="s">
        <v>277</v>
      </c>
      <c r="B159" s="2">
        <v>102513108</v>
      </c>
      <c r="C159" s="4">
        <f t="shared" si="30"/>
        <v>110.93</v>
      </c>
      <c r="D159" s="4">
        <v>80</v>
      </c>
      <c r="E159" s="6">
        <v>0.15</v>
      </c>
      <c r="F159" s="6">
        <v>0.1</v>
      </c>
      <c r="G159" s="5">
        <f t="shared" si="31"/>
        <v>229</v>
      </c>
      <c r="H159" s="4">
        <f t="shared" si="32"/>
        <v>13.672000000000001</v>
      </c>
      <c r="I159">
        <f t="shared" si="33"/>
        <v>10</v>
      </c>
      <c r="J159" s="4">
        <f t="shared" si="34"/>
        <v>2.16</v>
      </c>
      <c r="K159" s="4">
        <f t="shared" si="35"/>
        <v>1.5120000000000002</v>
      </c>
      <c r="N159" s="4">
        <v>30</v>
      </c>
      <c r="O159" s="4">
        <v>1</v>
      </c>
    </row>
    <row r="160" spans="1:15" ht="15.75" x14ac:dyDescent="0.2">
      <c r="A160" t="s">
        <v>278</v>
      </c>
      <c r="B160" s="2">
        <v>102513109</v>
      </c>
      <c r="C160" s="4">
        <f t="shared" si="30"/>
        <v>110.93</v>
      </c>
      <c r="D160" s="4">
        <v>80</v>
      </c>
      <c r="E160" s="6">
        <v>0.15</v>
      </c>
      <c r="F160" s="6">
        <v>0.1</v>
      </c>
      <c r="G160" s="5">
        <f t="shared" si="31"/>
        <v>229</v>
      </c>
      <c r="H160" s="4">
        <f t="shared" si="32"/>
        <v>13.672000000000001</v>
      </c>
      <c r="I160">
        <f t="shared" si="33"/>
        <v>10</v>
      </c>
      <c r="J160" s="4">
        <f t="shared" si="34"/>
        <v>2.16</v>
      </c>
      <c r="K160" s="4">
        <f t="shared" si="35"/>
        <v>1.5120000000000002</v>
      </c>
      <c r="N160" s="4">
        <v>30</v>
      </c>
      <c r="O160" s="4">
        <v>1</v>
      </c>
    </row>
    <row r="161" spans="1:15" ht="15.75" x14ac:dyDescent="0.2">
      <c r="A161" t="s">
        <v>279</v>
      </c>
      <c r="B161" s="2">
        <v>102514087</v>
      </c>
      <c r="C161" s="4">
        <f t="shared" si="30"/>
        <v>110.93</v>
      </c>
      <c r="D161" s="4">
        <v>80</v>
      </c>
      <c r="E161" s="6">
        <v>0.15</v>
      </c>
      <c r="F161" s="6">
        <v>0.1</v>
      </c>
      <c r="G161" s="5">
        <f t="shared" si="31"/>
        <v>229</v>
      </c>
      <c r="H161" s="4">
        <f t="shared" si="32"/>
        <v>13.672000000000001</v>
      </c>
      <c r="I161">
        <f t="shared" si="33"/>
        <v>10</v>
      </c>
      <c r="J161" s="4">
        <f t="shared" si="34"/>
        <v>2.16</v>
      </c>
      <c r="K161" s="4">
        <f t="shared" si="35"/>
        <v>1.5120000000000002</v>
      </c>
      <c r="N161" s="4">
        <v>30</v>
      </c>
      <c r="O161" s="4">
        <v>1</v>
      </c>
    </row>
    <row r="162" spans="1:15" ht="15.75" x14ac:dyDescent="0.2">
      <c r="A162" t="s">
        <v>280</v>
      </c>
      <c r="B162" s="2">
        <v>102516829</v>
      </c>
      <c r="C162" s="4">
        <f t="shared" si="30"/>
        <v>110.93</v>
      </c>
      <c r="D162" s="4">
        <v>80</v>
      </c>
      <c r="E162" s="6">
        <v>0.15</v>
      </c>
      <c r="F162" s="6">
        <v>0.1</v>
      </c>
      <c r="G162" s="5">
        <f t="shared" si="31"/>
        <v>229</v>
      </c>
      <c r="H162" s="4">
        <f t="shared" si="32"/>
        <v>13.672000000000001</v>
      </c>
      <c r="I162">
        <f t="shared" si="33"/>
        <v>10</v>
      </c>
      <c r="J162" s="4">
        <f t="shared" si="34"/>
        <v>2.16</v>
      </c>
      <c r="K162" s="4">
        <f t="shared" si="35"/>
        <v>1.5120000000000002</v>
      </c>
      <c r="N162" s="4">
        <v>30</v>
      </c>
      <c r="O162" s="4">
        <v>1</v>
      </c>
    </row>
    <row r="163" spans="1:15" ht="15.75" x14ac:dyDescent="0.2">
      <c r="A163" t="s">
        <v>281</v>
      </c>
      <c r="B163" s="2">
        <v>102516830</v>
      </c>
      <c r="C163" s="4">
        <f t="shared" si="30"/>
        <v>110.93</v>
      </c>
      <c r="D163" s="4">
        <v>80</v>
      </c>
      <c r="E163" s="6">
        <v>0.15</v>
      </c>
      <c r="F163" s="6">
        <v>0.1</v>
      </c>
      <c r="G163" s="5">
        <f t="shared" si="31"/>
        <v>229</v>
      </c>
      <c r="H163" s="4">
        <f t="shared" si="32"/>
        <v>13.672000000000001</v>
      </c>
      <c r="I163">
        <f t="shared" si="33"/>
        <v>10</v>
      </c>
      <c r="J163" s="4">
        <f t="shared" si="34"/>
        <v>2.16</v>
      </c>
      <c r="K163" s="4">
        <f t="shared" si="35"/>
        <v>1.5120000000000002</v>
      </c>
      <c r="N163" s="4">
        <v>30</v>
      </c>
      <c r="O163" s="4">
        <v>1</v>
      </c>
    </row>
    <row r="164" spans="1:15" ht="15.75" x14ac:dyDescent="0.2">
      <c r="A164" t="s">
        <v>282</v>
      </c>
      <c r="B164" s="2">
        <v>102516831</v>
      </c>
      <c r="C164" s="4">
        <f t="shared" si="30"/>
        <v>110.93</v>
      </c>
      <c r="D164" s="4">
        <v>80</v>
      </c>
      <c r="E164" s="6">
        <v>0.15</v>
      </c>
      <c r="F164" s="6">
        <v>0.1</v>
      </c>
      <c r="G164" s="5">
        <f t="shared" si="31"/>
        <v>229</v>
      </c>
      <c r="H164" s="4">
        <f t="shared" si="32"/>
        <v>13.672000000000001</v>
      </c>
      <c r="I164">
        <f t="shared" si="33"/>
        <v>10</v>
      </c>
      <c r="J164" s="4">
        <f t="shared" si="34"/>
        <v>2.16</v>
      </c>
      <c r="K164" s="4">
        <f t="shared" si="35"/>
        <v>1.5120000000000002</v>
      </c>
      <c r="N164" s="4">
        <v>30</v>
      </c>
      <c r="O164" s="4">
        <v>1</v>
      </c>
    </row>
    <row r="165" spans="1:15" ht="15.75" x14ac:dyDescent="0.2">
      <c r="A165" t="s">
        <v>283</v>
      </c>
      <c r="B165" s="2">
        <v>102516884</v>
      </c>
      <c r="C165" s="4">
        <f t="shared" si="30"/>
        <v>110.93</v>
      </c>
      <c r="D165" s="4">
        <v>80</v>
      </c>
      <c r="E165" s="6">
        <v>0.15</v>
      </c>
      <c r="F165" s="6">
        <v>0.1</v>
      </c>
      <c r="G165" s="5">
        <f t="shared" si="31"/>
        <v>229</v>
      </c>
      <c r="H165" s="4">
        <f t="shared" si="32"/>
        <v>13.672000000000001</v>
      </c>
      <c r="I165">
        <f t="shared" si="33"/>
        <v>10</v>
      </c>
      <c r="J165" s="4">
        <f t="shared" si="34"/>
        <v>2.16</v>
      </c>
      <c r="K165" s="4">
        <f t="shared" si="35"/>
        <v>1.5120000000000002</v>
      </c>
      <c r="N165" s="4">
        <v>30</v>
      </c>
      <c r="O165" s="4">
        <v>1</v>
      </c>
    </row>
    <row r="166" spans="1:15" ht="15.75" x14ac:dyDescent="0.2">
      <c r="A166" t="s">
        <v>284</v>
      </c>
      <c r="B166" s="2">
        <v>102516886</v>
      </c>
      <c r="C166" s="4">
        <f t="shared" si="30"/>
        <v>110.93</v>
      </c>
      <c r="D166" s="4">
        <v>80</v>
      </c>
      <c r="E166" s="6">
        <v>0.15</v>
      </c>
      <c r="F166" s="6">
        <v>0.1</v>
      </c>
      <c r="G166" s="5">
        <f t="shared" si="31"/>
        <v>229</v>
      </c>
      <c r="H166" s="4">
        <f t="shared" si="32"/>
        <v>13.672000000000001</v>
      </c>
      <c r="I166">
        <f t="shared" si="33"/>
        <v>10</v>
      </c>
      <c r="J166" s="4">
        <f t="shared" si="34"/>
        <v>2.16</v>
      </c>
      <c r="K166" s="4">
        <f t="shared" si="35"/>
        <v>1.5120000000000002</v>
      </c>
      <c r="N166" s="4">
        <v>30</v>
      </c>
      <c r="O166" s="4">
        <v>1</v>
      </c>
    </row>
    <row r="167" spans="1:15" ht="15.75" x14ac:dyDescent="0.2">
      <c r="A167" t="s">
        <v>285</v>
      </c>
      <c r="B167" s="2">
        <v>102516888</v>
      </c>
      <c r="C167" s="4">
        <f t="shared" si="30"/>
        <v>110.93</v>
      </c>
      <c r="D167" s="4">
        <v>80</v>
      </c>
      <c r="E167" s="6">
        <v>0.15</v>
      </c>
      <c r="F167" s="6">
        <v>0.1</v>
      </c>
      <c r="G167" s="5">
        <f t="shared" si="31"/>
        <v>229</v>
      </c>
      <c r="H167" s="4">
        <f t="shared" si="32"/>
        <v>13.672000000000001</v>
      </c>
      <c r="I167">
        <f t="shared" si="33"/>
        <v>10</v>
      </c>
      <c r="J167" s="4">
        <f t="shared" si="34"/>
        <v>2.16</v>
      </c>
      <c r="K167" s="4">
        <f t="shared" si="35"/>
        <v>1.5120000000000002</v>
      </c>
      <c r="N167" s="4">
        <v>30</v>
      </c>
      <c r="O167" s="4">
        <v>1</v>
      </c>
    </row>
    <row r="168" spans="1:15" ht="15.75" x14ac:dyDescent="0.2">
      <c r="A168" t="s">
        <v>286</v>
      </c>
      <c r="B168" s="2">
        <v>102516889</v>
      </c>
      <c r="C168" s="4">
        <f t="shared" si="30"/>
        <v>110.93</v>
      </c>
      <c r="D168" s="4">
        <v>80</v>
      </c>
      <c r="E168" s="6">
        <v>0.15</v>
      </c>
      <c r="F168" s="6">
        <v>0.1</v>
      </c>
      <c r="G168" s="5">
        <f t="shared" si="31"/>
        <v>229</v>
      </c>
      <c r="H168" s="4">
        <f t="shared" si="32"/>
        <v>13.672000000000001</v>
      </c>
      <c r="I168">
        <f t="shared" si="33"/>
        <v>10</v>
      </c>
      <c r="J168" s="4">
        <f t="shared" si="34"/>
        <v>2.16</v>
      </c>
      <c r="K168" s="4">
        <f t="shared" si="35"/>
        <v>1.5120000000000002</v>
      </c>
      <c r="N168" s="4">
        <v>30</v>
      </c>
      <c r="O168" s="4">
        <v>1</v>
      </c>
    </row>
    <row r="169" spans="1:15" ht="15.75" x14ac:dyDescent="0.2">
      <c r="A169" t="s">
        <v>287</v>
      </c>
      <c r="B169" s="2">
        <v>102516891</v>
      </c>
      <c r="C169" s="4">
        <f t="shared" si="30"/>
        <v>110.93</v>
      </c>
      <c r="D169" s="4">
        <v>80</v>
      </c>
      <c r="E169" s="6">
        <v>0.15</v>
      </c>
      <c r="F169" s="6">
        <v>0.1</v>
      </c>
      <c r="G169" s="5">
        <f t="shared" si="31"/>
        <v>229</v>
      </c>
      <c r="H169" s="4">
        <f t="shared" si="32"/>
        <v>13.672000000000001</v>
      </c>
      <c r="I169">
        <f t="shared" si="33"/>
        <v>10</v>
      </c>
      <c r="J169" s="4">
        <f t="shared" si="34"/>
        <v>2.16</v>
      </c>
      <c r="K169" s="4">
        <f t="shared" si="35"/>
        <v>1.5120000000000002</v>
      </c>
      <c r="N169" s="4">
        <v>30</v>
      </c>
      <c r="O169" s="4">
        <v>1</v>
      </c>
    </row>
    <row r="170" spans="1:15" ht="15.75" x14ac:dyDescent="0.2">
      <c r="A170" t="s">
        <v>288</v>
      </c>
      <c r="B170" s="2">
        <v>102516892</v>
      </c>
      <c r="C170" s="4">
        <f t="shared" si="30"/>
        <v>110.93</v>
      </c>
      <c r="D170" s="4">
        <v>80</v>
      </c>
      <c r="E170" s="6">
        <v>0.15</v>
      </c>
      <c r="F170" s="6">
        <v>0.1</v>
      </c>
      <c r="G170" s="5">
        <f t="shared" si="31"/>
        <v>229</v>
      </c>
      <c r="H170" s="4">
        <f t="shared" si="32"/>
        <v>13.672000000000001</v>
      </c>
      <c r="I170">
        <f t="shared" si="33"/>
        <v>10</v>
      </c>
      <c r="J170" s="4">
        <f t="shared" si="34"/>
        <v>2.16</v>
      </c>
      <c r="K170" s="4">
        <f t="shared" si="35"/>
        <v>1.5120000000000002</v>
      </c>
      <c r="N170" s="4">
        <v>30</v>
      </c>
      <c r="O170" s="4">
        <v>1</v>
      </c>
    </row>
    <row r="171" spans="1:15" ht="15.75" x14ac:dyDescent="0.2">
      <c r="A171" t="s">
        <v>289</v>
      </c>
      <c r="B171" s="2">
        <v>102516894</v>
      </c>
      <c r="C171" s="4">
        <f t="shared" si="30"/>
        <v>110.93</v>
      </c>
      <c r="D171" s="4">
        <v>80</v>
      </c>
      <c r="E171" s="6">
        <v>0.15</v>
      </c>
      <c r="F171" s="6">
        <v>0.1</v>
      </c>
      <c r="G171" s="5">
        <f t="shared" si="31"/>
        <v>229</v>
      </c>
      <c r="H171" s="4">
        <f t="shared" si="32"/>
        <v>13.672000000000001</v>
      </c>
      <c r="I171">
        <f t="shared" si="33"/>
        <v>10</v>
      </c>
      <c r="J171" s="4">
        <f t="shared" si="34"/>
        <v>2.16</v>
      </c>
      <c r="K171" s="4">
        <f t="shared" si="35"/>
        <v>1.5120000000000002</v>
      </c>
      <c r="N171" s="4">
        <v>30</v>
      </c>
      <c r="O171" s="4">
        <v>1</v>
      </c>
    </row>
    <row r="172" spans="1:15" ht="15.75" x14ac:dyDescent="0.2">
      <c r="A172" t="s">
        <v>290</v>
      </c>
      <c r="B172" s="2">
        <v>102516896</v>
      </c>
      <c r="C172" s="4">
        <f t="shared" si="30"/>
        <v>110.93</v>
      </c>
      <c r="D172" s="4">
        <v>80</v>
      </c>
      <c r="E172" s="6">
        <v>0.15</v>
      </c>
      <c r="F172" s="6">
        <v>0.1</v>
      </c>
      <c r="G172" s="5">
        <f t="shared" si="31"/>
        <v>229</v>
      </c>
      <c r="H172" s="4">
        <f t="shared" si="32"/>
        <v>13.672000000000001</v>
      </c>
      <c r="I172">
        <f t="shared" si="33"/>
        <v>10</v>
      </c>
      <c r="J172" s="4">
        <f t="shared" si="34"/>
        <v>2.16</v>
      </c>
      <c r="K172" s="4">
        <f t="shared" si="35"/>
        <v>1.5120000000000002</v>
      </c>
      <c r="N172" s="4">
        <v>30</v>
      </c>
      <c r="O172" s="4">
        <v>1</v>
      </c>
    </row>
    <row r="173" spans="1:15" ht="15.75" x14ac:dyDescent="0.2">
      <c r="A173" t="s">
        <v>291</v>
      </c>
      <c r="B173" s="2">
        <v>102516897</v>
      </c>
      <c r="C173" s="4">
        <f t="shared" si="30"/>
        <v>110.93</v>
      </c>
      <c r="D173" s="4">
        <v>80</v>
      </c>
      <c r="E173" s="6">
        <v>0.15</v>
      </c>
      <c r="F173" s="6">
        <v>0.1</v>
      </c>
      <c r="G173" s="5">
        <f t="shared" si="31"/>
        <v>229</v>
      </c>
      <c r="H173" s="4">
        <f t="shared" si="32"/>
        <v>13.672000000000001</v>
      </c>
      <c r="I173">
        <f t="shared" si="33"/>
        <v>10</v>
      </c>
      <c r="J173" s="4">
        <f t="shared" si="34"/>
        <v>2.16</v>
      </c>
      <c r="K173" s="4">
        <f t="shared" si="35"/>
        <v>1.5120000000000002</v>
      </c>
      <c r="N173" s="4">
        <v>30</v>
      </c>
      <c r="O173" s="4">
        <v>1</v>
      </c>
    </row>
    <row r="174" spans="1:15" ht="15.75" x14ac:dyDescent="0.2">
      <c r="A174" t="s">
        <v>292</v>
      </c>
      <c r="B174" s="2">
        <v>102516899</v>
      </c>
      <c r="C174" s="4">
        <f t="shared" si="30"/>
        <v>110.93</v>
      </c>
      <c r="D174" s="4">
        <v>80</v>
      </c>
      <c r="E174" s="6">
        <v>0.15</v>
      </c>
      <c r="F174" s="6">
        <v>0.1</v>
      </c>
      <c r="G174" s="5">
        <f t="shared" si="31"/>
        <v>229</v>
      </c>
      <c r="H174" s="4">
        <f t="shared" si="32"/>
        <v>13.672000000000001</v>
      </c>
      <c r="I174">
        <f t="shared" si="33"/>
        <v>10</v>
      </c>
      <c r="J174" s="4">
        <f t="shared" si="34"/>
        <v>2.16</v>
      </c>
      <c r="K174" s="4">
        <f t="shared" si="35"/>
        <v>1.5120000000000002</v>
      </c>
      <c r="N174" s="4">
        <v>30</v>
      </c>
      <c r="O174" s="4">
        <v>1</v>
      </c>
    </row>
    <row r="175" spans="1:15" ht="15.75" x14ac:dyDescent="0.2">
      <c r="A175" t="s">
        <v>293</v>
      </c>
      <c r="B175" s="2">
        <v>102517466</v>
      </c>
      <c r="C175" s="4">
        <f t="shared" si="30"/>
        <v>110.93</v>
      </c>
      <c r="D175" s="4">
        <v>80</v>
      </c>
      <c r="E175" s="6">
        <v>0.15</v>
      </c>
      <c r="F175" s="6">
        <v>0.1</v>
      </c>
      <c r="G175" s="5">
        <f t="shared" si="31"/>
        <v>229</v>
      </c>
      <c r="H175" s="4">
        <f t="shared" si="32"/>
        <v>13.672000000000001</v>
      </c>
      <c r="I175">
        <f t="shared" si="33"/>
        <v>10</v>
      </c>
      <c r="J175" s="4">
        <f t="shared" si="34"/>
        <v>2.16</v>
      </c>
      <c r="K175" s="4">
        <f t="shared" si="35"/>
        <v>1.5120000000000002</v>
      </c>
      <c r="N175" s="4">
        <v>30</v>
      </c>
      <c r="O175" s="4">
        <v>1</v>
      </c>
    </row>
    <row r="176" spans="1:15" ht="15.75" x14ac:dyDescent="0.2">
      <c r="A176" t="s">
        <v>294</v>
      </c>
      <c r="B176" s="2">
        <v>102517467</v>
      </c>
      <c r="C176" s="4">
        <f t="shared" si="30"/>
        <v>110.93</v>
      </c>
      <c r="D176" s="4">
        <v>80</v>
      </c>
      <c r="E176" s="6">
        <v>0.15</v>
      </c>
      <c r="F176" s="6">
        <v>0.1</v>
      </c>
      <c r="G176" s="5">
        <f t="shared" si="31"/>
        <v>229</v>
      </c>
      <c r="H176" s="4">
        <f t="shared" si="32"/>
        <v>13.672000000000001</v>
      </c>
      <c r="I176">
        <f t="shared" si="33"/>
        <v>10</v>
      </c>
      <c r="J176" s="4">
        <f t="shared" si="34"/>
        <v>2.16</v>
      </c>
      <c r="K176" s="4">
        <f t="shared" si="35"/>
        <v>1.5120000000000002</v>
      </c>
      <c r="N176" s="4">
        <v>30</v>
      </c>
      <c r="O176" s="4">
        <v>1</v>
      </c>
    </row>
    <row r="177" spans="1:15" ht="15.75" x14ac:dyDescent="0.2">
      <c r="A177" t="s">
        <v>295</v>
      </c>
      <c r="B177" s="2">
        <v>102517468</v>
      </c>
      <c r="C177" s="4">
        <f t="shared" si="30"/>
        <v>110.93</v>
      </c>
      <c r="D177" s="4">
        <v>80</v>
      </c>
      <c r="E177" s="6">
        <v>0.15</v>
      </c>
      <c r="F177" s="6">
        <v>0.1</v>
      </c>
      <c r="G177" s="5">
        <f t="shared" si="31"/>
        <v>229</v>
      </c>
      <c r="H177" s="4">
        <f t="shared" si="32"/>
        <v>13.672000000000001</v>
      </c>
      <c r="I177">
        <f t="shared" si="33"/>
        <v>10</v>
      </c>
      <c r="J177" s="4">
        <f t="shared" si="34"/>
        <v>2.16</v>
      </c>
      <c r="K177" s="4">
        <f t="shared" si="35"/>
        <v>1.5120000000000002</v>
      </c>
      <c r="N177" s="4">
        <v>30</v>
      </c>
      <c r="O177" s="4">
        <v>1</v>
      </c>
    </row>
    <row r="178" spans="1:15" ht="15.75" x14ac:dyDescent="0.2">
      <c r="A178" t="s">
        <v>296</v>
      </c>
      <c r="B178" s="2">
        <v>102517469</v>
      </c>
      <c r="C178" s="4">
        <f t="shared" si="30"/>
        <v>110.93</v>
      </c>
      <c r="D178" s="4">
        <v>80</v>
      </c>
      <c r="E178" s="6">
        <v>0.15</v>
      </c>
      <c r="F178" s="6">
        <v>0.1</v>
      </c>
      <c r="G178" s="5">
        <f t="shared" si="31"/>
        <v>229</v>
      </c>
      <c r="H178" s="4">
        <f t="shared" si="32"/>
        <v>13.672000000000001</v>
      </c>
      <c r="I178">
        <f t="shared" si="33"/>
        <v>10</v>
      </c>
      <c r="J178" s="4">
        <f t="shared" si="34"/>
        <v>2.16</v>
      </c>
      <c r="K178" s="4">
        <f t="shared" si="35"/>
        <v>1.5120000000000002</v>
      </c>
      <c r="N178" s="4">
        <v>30</v>
      </c>
      <c r="O178" s="4">
        <v>1</v>
      </c>
    </row>
    <row r="179" spans="1:15" ht="15.75" x14ac:dyDescent="0.2">
      <c r="A179" t="s">
        <v>297</v>
      </c>
      <c r="B179" s="2">
        <v>102520636</v>
      </c>
      <c r="C179" s="4">
        <f t="shared" si="30"/>
        <v>110.93</v>
      </c>
      <c r="D179" s="4">
        <v>80</v>
      </c>
      <c r="E179" s="6">
        <v>0.15</v>
      </c>
      <c r="F179" s="6">
        <v>0.1</v>
      </c>
      <c r="G179" s="5">
        <f t="shared" si="31"/>
        <v>229</v>
      </c>
      <c r="H179" s="4">
        <f t="shared" si="32"/>
        <v>13.672000000000001</v>
      </c>
      <c r="I179">
        <f t="shared" si="33"/>
        <v>10</v>
      </c>
      <c r="J179" s="4">
        <f t="shared" si="34"/>
        <v>2.16</v>
      </c>
      <c r="K179" s="4">
        <f t="shared" si="35"/>
        <v>1.5120000000000002</v>
      </c>
      <c r="N179" s="4">
        <v>30</v>
      </c>
      <c r="O179" s="4">
        <v>1</v>
      </c>
    </row>
    <row r="180" spans="1:15" ht="15.75" x14ac:dyDescent="0.2">
      <c r="A180" t="s">
        <v>298</v>
      </c>
      <c r="B180" s="2">
        <v>102520637</v>
      </c>
      <c r="C180" s="4">
        <f t="shared" si="30"/>
        <v>110.93</v>
      </c>
      <c r="D180" s="4">
        <v>80</v>
      </c>
      <c r="E180" s="6">
        <v>0.15</v>
      </c>
      <c r="F180" s="6">
        <v>0.1</v>
      </c>
      <c r="G180" s="5">
        <f t="shared" si="31"/>
        <v>229</v>
      </c>
      <c r="H180" s="4">
        <f t="shared" si="32"/>
        <v>13.672000000000001</v>
      </c>
      <c r="I180">
        <f t="shared" si="33"/>
        <v>10</v>
      </c>
      <c r="J180" s="4">
        <f t="shared" si="34"/>
        <v>2.16</v>
      </c>
      <c r="K180" s="4">
        <f t="shared" si="35"/>
        <v>1.5120000000000002</v>
      </c>
      <c r="N180" s="4">
        <v>30</v>
      </c>
      <c r="O180" s="4">
        <v>1</v>
      </c>
    </row>
    <row r="181" spans="1:15" ht="15.75" x14ac:dyDescent="0.2">
      <c r="A181" t="s">
        <v>299</v>
      </c>
      <c r="B181" s="2">
        <v>102520770</v>
      </c>
      <c r="C181" s="4">
        <f t="shared" si="30"/>
        <v>110.93</v>
      </c>
      <c r="D181" s="4">
        <v>80</v>
      </c>
      <c r="E181" s="6">
        <v>0.15</v>
      </c>
      <c r="F181" s="6">
        <v>0.1</v>
      </c>
      <c r="G181" s="5">
        <f t="shared" si="31"/>
        <v>229</v>
      </c>
      <c r="H181" s="4">
        <f t="shared" si="32"/>
        <v>13.672000000000001</v>
      </c>
      <c r="I181">
        <f t="shared" si="33"/>
        <v>10</v>
      </c>
      <c r="J181" s="4">
        <f t="shared" si="34"/>
        <v>2.16</v>
      </c>
      <c r="K181" s="4">
        <f t="shared" si="35"/>
        <v>1.5120000000000002</v>
      </c>
      <c r="N181" s="4">
        <v>30</v>
      </c>
      <c r="O181" s="4">
        <v>1</v>
      </c>
    </row>
    <row r="182" spans="1:15" ht="15.75" x14ac:dyDescent="0.2">
      <c r="A182" t="s">
        <v>300</v>
      </c>
      <c r="B182" s="2">
        <v>102520771</v>
      </c>
      <c r="C182" s="4">
        <f t="shared" si="30"/>
        <v>110.93</v>
      </c>
      <c r="D182" s="4">
        <v>80</v>
      </c>
      <c r="E182" s="6">
        <v>0.15</v>
      </c>
      <c r="F182" s="6">
        <v>0.1</v>
      </c>
      <c r="G182" s="5">
        <f t="shared" si="31"/>
        <v>229</v>
      </c>
      <c r="H182" s="4">
        <f t="shared" si="32"/>
        <v>13.672000000000001</v>
      </c>
      <c r="I182">
        <f t="shared" si="33"/>
        <v>10</v>
      </c>
      <c r="J182" s="4">
        <f t="shared" si="34"/>
        <v>2.16</v>
      </c>
      <c r="K182" s="4">
        <f t="shared" si="35"/>
        <v>1.5120000000000002</v>
      </c>
      <c r="N182" s="4">
        <v>30</v>
      </c>
      <c r="O182" s="4">
        <v>1</v>
      </c>
    </row>
    <row r="183" spans="1:15" ht="15.75" x14ac:dyDescent="0.2">
      <c r="A183" t="s">
        <v>301</v>
      </c>
      <c r="B183" s="2">
        <v>102520772</v>
      </c>
      <c r="C183" s="4">
        <f t="shared" si="30"/>
        <v>110.93</v>
      </c>
      <c r="D183" s="4">
        <v>80</v>
      </c>
      <c r="E183" s="6">
        <v>0.15</v>
      </c>
      <c r="F183" s="6">
        <v>0.1</v>
      </c>
      <c r="G183" s="5">
        <f t="shared" si="31"/>
        <v>229</v>
      </c>
      <c r="H183" s="4">
        <f t="shared" si="32"/>
        <v>13.672000000000001</v>
      </c>
      <c r="I183">
        <f t="shared" si="33"/>
        <v>10</v>
      </c>
      <c r="J183" s="4">
        <f t="shared" si="34"/>
        <v>2.16</v>
      </c>
      <c r="K183" s="4">
        <f t="shared" si="35"/>
        <v>1.5120000000000002</v>
      </c>
      <c r="N183" s="4">
        <v>30</v>
      </c>
      <c r="O183" s="4">
        <v>1</v>
      </c>
    </row>
    <row r="184" spans="1:15" ht="15.75" x14ac:dyDescent="0.2">
      <c r="A184" t="s">
        <v>302</v>
      </c>
      <c r="B184" s="2">
        <v>102520773</v>
      </c>
      <c r="C184" s="4">
        <f t="shared" si="30"/>
        <v>110.93</v>
      </c>
      <c r="D184" s="4">
        <v>80</v>
      </c>
      <c r="E184" s="6">
        <v>0.15</v>
      </c>
      <c r="F184" s="6">
        <v>0.1</v>
      </c>
      <c r="G184" s="5">
        <f t="shared" si="31"/>
        <v>229</v>
      </c>
      <c r="H184" s="4">
        <f t="shared" si="32"/>
        <v>13.672000000000001</v>
      </c>
      <c r="I184">
        <f t="shared" si="33"/>
        <v>10</v>
      </c>
      <c r="J184" s="4">
        <f t="shared" si="34"/>
        <v>2.16</v>
      </c>
      <c r="K184" s="4">
        <f t="shared" si="35"/>
        <v>1.5120000000000002</v>
      </c>
      <c r="N184" s="4">
        <v>30</v>
      </c>
      <c r="O184" s="4">
        <v>1</v>
      </c>
    </row>
    <row r="185" spans="1:15" ht="15.75" x14ac:dyDescent="0.2">
      <c r="A185" t="s">
        <v>311</v>
      </c>
      <c r="B185" s="2">
        <v>102522193</v>
      </c>
      <c r="C185" s="4">
        <f t="shared" si="30"/>
        <v>110.93</v>
      </c>
      <c r="D185" s="4">
        <v>80</v>
      </c>
      <c r="E185" s="6">
        <v>0.15</v>
      </c>
      <c r="F185" s="6">
        <v>0.1</v>
      </c>
      <c r="G185" s="5">
        <f t="shared" si="31"/>
        <v>229</v>
      </c>
      <c r="H185" s="4">
        <f t="shared" si="32"/>
        <v>13.672000000000001</v>
      </c>
      <c r="I185">
        <f t="shared" si="33"/>
        <v>10</v>
      </c>
      <c r="J185" s="4">
        <f t="shared" si="34"/>
        <v>2.16</v>
      </c>
      <c r="K185" s="4">
        <f t="shared" si="35"/>
        <v>1.5120000000000002</v>
      </c>
      <c r="N185" s="4">
        <v>30</v>
      </c>
      <c r="O185" s="4">
        <v>1</v>
      </c>
    </row>
    <row r="186" spans="1:15" ht="15.75" x14ac:dyDescent="0.2">
      <c r="A186" t="s">
        <v>303</v>
      </c>
      <c r="B186" s="2">
        <v>102522225</v>
      </c>
      <c r="C186" s="4">
        <f t="shared" si="30"/>
        <v>110.93</v>
      </c>
      <c r="D186" s="4">
        <v>80</v>
      </c>
      <c r="E186" s="6">
        <v>0.15</v>
      </c>
      <c r="F186" s="6">
        <v>0.1</v>
      </c>
      <c r="G186" s="5">
        <f t="shared" si="31"/>
        <v>229</v>
      </c>
      <c r="H186" s="4">
        <f t="shared" si="32"/>
        <v>13.672000000000001</v>
      </c>
      <c r="I186">
        <f t="shared" si="33"/>
        <v>10</v>
      </c>
      <c r="J186" s="4">
        <f t="shared" si="34"/>
        <v>2.16</v>
      </c>
      <c r="K186" s="4">
        <f t="shared" si="35"/>
        <v>1.5120000000000002</v>
      </c>
      <c r="N186" s="4">
        <v>30</v>
      </c>
      <c r="O186" s="4">
        <v>1</v>
      </c>
    </row>
    <row r="187" spans="1:15" ht="15.75" x14ac:dyDescent="0.2">
      <c r="A187" t="s">
        <v>304</v>
      </c>
      <c r="B187" s="2">
        <v>102522235</v>
      </c>
      <c r="C187" s="4">
        <f t="shared" si="30"/>
        <v>110.93</v>
      </c>
      <c r="D187" s="4">
        <v>80</v>
      </c>
      <c r="E187" s="6">
        <v>0.15</v>
      </c>
      <c r="F187" s="6">
        <v>0.1</v>
      </c>
      <c r="G187" s="5">
        <f t="shared" si="31"/>
        <v>229</v>
      </c>
      <c r="H187" s="4">
        <f t="shared" si="32"/>
        <v>13.672000000000001</v>
      </c>
      <c r="I187">
        <f t="shared" si="33"/>
        <v>10</v>
      </c>
      <c r="J187" s="4">
        <f t="shared" si="34"/>
        <v>2.16</v>
      </c>
      <c r="K187" s="4">
        <f t="shared" si="35"/>
        <v>1.5120000000000002</v>
      </c>
      <c r="N187" s="4">
        <v>30</v>
      </c>
      <c r="O187" s="4">
        <v>1</v>
      </c>
    </row>
    <row r="188" spans="1:15" ht="15.75" x14ac:dyDescent="0.2">
      <c r="A188" t="s">
        <v>305</v>
      </c>
      <c r="B188" s="2">
        <v>102522236</v>
      </c>
      <c r="C188" s="4">
        <f t="shared" si="30"/>
        <v>110.93</v>
      </c>
      <c r="D188" s="4">
        <v>80</v>
      </c>
      <c r="E188" s="6">
        <v>0.15</v>
      </c>
      <c r="F188" s="6">
        <v>0.1</v>
      </c>
      <c r="G188" s="5">
        <f t="shared" si="31"/>
        <v>229</v>
      </c>
      <c r="H188" s="4">
        <f t="shared" si="32"/>
        <v>13.672000000000001</v>
      </c>
      <c r="I188">
        <f t="shared" si="33"/>
        <v>10</v>
      </c>
      <c r="J188" s="4">
        <f t="shared" si="34"/>
        <v>2.16</v>
      </c>
      <c r="K188" s="4">
        <f t="shared" si="35"/>
        <v>1.5120000000000002</v>
      </c>
      <c r="N188" s="4">
        <v>30</v>
      </c>
      <c r="O188" s="4">
        <v>1</v>
      </c>
    </row>
    <row r="189" spans="1:15" ht="15.75" x14ac:dyDescent="0.2">
      <c r="A189" t="s">
        <v>306</v>
      </c>
      <c r="B189" s="2">
        <v>102524541</v>
      </c>
      <c r="C189" s="4">
        <f t="shared" si="30"/>
        <v>110.93</v>
      </c>
      <c r="D189" s="4">
        <v>80</v>
      </c>
      <c r="E189" s="6">
        <v>0.15</v>
      </c>
      <c r="F189" s="6">
        <v>0.1</v>
      </c>
      <c r="G189" s="5">
        <f t="shared" si="31"/>
        <v>229</v>
      </c>
      <c r="H189" s="4">
        <f t="shared" si="32"/>
        <v>13.672000000000001</v>
      </c>
      <c r="I189">
        <f t="shared" si="33"/>
        <v>10</v>
      </c>
      <c r="J189" s="4">
        <f t="shared" si="34"/>
        <v>2.16</v>
      </c>
      <c r="K189" s="4">
        <f t="shared" si="35"/>
        <v>1.5120000000000002</v>
      </c>
      <c r="N189" s="4">
        <v>30</v>
      </c>
      <c r="O189" s="4">
        <v>1</v>
      </c>
    </row>
    <row r="190" spans="1:15" ht="15.75" x14ac:dyDescent="0.2">
      <c r="A190" t="s">
        <v>307</v>
      </c>
      <c r="B190" s="2">
        <v>102526848</v>
      </c>
      <c r="C190" s="4">
        <f t="shared" si="30"/>
        <v>110.93</v>
      </c>
      <c r="D190" s="4">
        <v>80</v>
      </c>
      <c r="E190" s="6">
        <v>0.15</v>
      </c>
      <c r="F190" s="6">
        <v>0.1</v>
      </c>
      <c r="G190" s="5">
        <f t="shared" si="31"/>
        <v>229</v>
      </c>
      <c r="H190" s="4">
        <f t="shared" si="32"/>
        <v>13.672000000000001</v>
      </c>
      <c r="I190">
        <f t="shared" si="33"/>
        <v>10</v>
      </c>
      <c r="J190" s="4">
        <f t="shared" si="34"/>
        <v>2.16</v>
      </c>
      <c r="K190" s="4">
        <f t="shared" si="35"/>
        <v>1.5120000000000002</v>
      </c>
      <c r="N190" s="4">
        <v>30</v>
      </c>
      <c r="O190" s="4">
        <v>1</v>
      </c>
    </row>
    <row r="191" spans="1:15" ht="15.75" x14ac:dyDescent="0.2">
      <c r="A191" t="s">
        <v>308</v>
      </c>
      <c r="B191" s="2">
        <v>103347684</v>
      </c>
      <c r="C191" s="4">
        <f t="shared" ref="C191:C194" si="36">ROUND((H191+N191+M191)*2.54,2)</f>
        <v>110.93</v>
      </c>
      <c r="D191" s="4">
        <v>80</v>
      </c>
      <c r="E191" s="6">
        <v>0.15</v>
      </c>
      <c r="F191" s="6">
        <v>0.1</v>
      </c>
      <c r="G191" s="5">
        <f t="shared" ref="G191:G194" si="37">ROUND((C191+D191)/(1-F191*(1+E191)-5%),0)</f>
        <v>229</v>
      </c>
      <c r="H191" s="4">
        <f t="shared" ref="H191:H194" si="38">I191+J191+K191</f>
        <v>13.672000000000001</v>
      </c>
      <c r="I191">
        <f t="shared" ref="I191:I194" si="39">L191*79+10</f>
        <v>10</v>
      </c>
      <c r="J191" s="4">
        <f t="shared" ref="J191:J194" si="40">O191*7.2*0.3</f>
        <v>2.16</v>
      </c>
      <c r="K191" s="4">
        <f t="shared" ref="K191:K194" si="41">(O191*1.1*7.2+J191)*0.15</f>
        <v>1.5120000000000002</v>
      </c>
      <c r="N191" s="4">
        <v>30</v>
      </c>
      <c r="O191" s="4">
        <v>1</v>
      </c>
    </row>
    <row r="192" spans="1:15" ht="15.75" x14ac:dyDescent="0.2">
      <c r="A192" t="s">
        <v>309</v>
      </c>
      <c r="B192" s="2">
        <v>103347694</v>
      </c>
      <c r="C192" s="4">
        <f t="shared" si="36"/>
        <v>110.93</v>
      </c>
      <c r="D192" s="4">
        <v>80</v>
      </c>
      <c r="E192" s="6">
        <v>0.15</v>
      </c>
      <c r="F192" s="6">
        <v>0.1</v>
      </c>
      <c r="G192" s="5">
        <f t="shared" si="37"/>
        <v>229</v>
      </c>
      <c r="H192" s="4">
        <f t="shared" si="38"/>
        <v>13.672000000000001</v>
      </c>
      <c r="I192">
        <f t="shared" si="39"/>
        <v>10</v>
      </c>
      <c r="J192" s="4">
        <f t="shared" si="40"/>
        <v>2.16</v>
      </c>
      <c r="K192" s="4">
        <f t="shared" si="41"/>
        <v>1.5120000000000002</v>
      </c>
      <c r="N192" s="4">
        <v>30</v>
      </c>
      <c r="O192" s="4">
        <v>1</v>
      </c>
    </row>
    <row r="193" spans="1:15" ht="15.75" x14ac:dyDescent="0.2">
      <c r="A193" t="s">
        <v>310</v>
      </c>
      <c r="B193" s="2">
        <v>103347774</v>
      </c>
      <c r="C193" s="4">
        <f t="shared" si="36"/>
        <v>110.93</v>
      </c>
      <c r="D193" s="4">
        <v>80</v>
      </c>
      <c r="E193" s="6">
        <v>0.15</v>
      </c>
      <c r="F193" s="6">
        <v>0.1</v>
      </c>
      <c r="G193" s="5">
        <f t="shared" si="37"/>
        <v>229</v>
      </c>
      <c r="H193" s="4">
        <f t="shared" si="38"/>
        <v>13.672000000000001</v>
      </c>
      <c r="I193">
        <f t="shared" si="39"/>
        <v>10</v>
      </c>
      <c r="J193" s="4">
        <f t="shared" si="40"/>
        <v>2.16</v>
      </c>
      <c r="K193" s="4">
        <f t="shared" si="41"/>
        <v>1.5120000000000002</v>
      </c>
      <c r="N193" s="4">
        <v>30</v>
      </c>
      <c r="O193" s="4">
        <v>1</v>
      </c>
    </row>
    <row r="194" spans="1:15" ht="15.75" x14ac:dyDescent="0.2">
      <c r="A194"/>
      <c r="C194" s="4">
        <f t="shared" si="36"/>
        <v>110.93</v>
      </c>
      <c r="D194" s="4">
        <v>80</v>
      </c>
      <c r="E194" s="6">
        <v>0.15</v>
      </c>
      <c r="F194" s="6">
        <v>0.1</v>
      </c>
      <c r="G194" s="5">
        <f t="shared" si="37"/>
        <v>229</v>
      </c>
      <c r="H194" s="4">
        <f t="shared" si="38"/>
        <v>13.672000000000001</v>
      </c>
      <c r="I194">
        <f t="shared" si="39"/>
        <v>10</v>
      </c>
      <c r="J194" s="4">
        <f t="shared" si="40"/>
        <v>2.16</v>
      </c>
      <c r="K194" s="4">
        <f t="shared" si="41"/>
        <v>1.5120000000000002</v>
      </c>
      <c r="N194" s="4">
        <v>30</v>
      </c>
      <c r="O194" s="4">
        <v>1</v>
      </c>
    </row>
    <row r="195" spans="1:15" ht="15.75" x14ac:dyDescent="0.2">
      <c r="A195"/>
      <c r="C195" s="4">
        <f t="shared" ref="C195:C197" si="42">ROUND((H195+N195+M195)*2.54,2)</f>
        <v>110.93</v>
      </c>
      <c r="D195" s="4">
        <v>80</v>
      </c>
      <c r="E195" s="6">
        <v>0.15</v>
      </c>
      <c r="F195" s="6">
        <v>0.1</v>
      </c>
      <c r="G195" s="5">
        <f t="shared" ref="G195:G197" si="43">ROUND((C195+D195)/(1-F195*(1+E195)-5%),0)</f>
        <v>229</v>
      </c>
      <c r="H195" s="4">
        <f t="shared" ref="H195:H197" si="44">I195+J195+K195</f>
        <v>13.672000000000001</v>
      </c>
      <c r="I195">
        <f t="shared" ref="I195:I197" si="45">L195*79+10</f>
        <v>10</v>
      </c>
      <c r="J195" s="4">
        <f t="shared" ref="J195:J197" si="46">O195*7.2*0.3</f>
        <v>2.16</v>
      </c>
      <c r="K195" s="4">
        <f t="shared" ref="K195:K197" si="47">(O195*1.1*7.2+J195)*0.15</f>
        <v>1.5120000000000002</v>
      </c>
      <c r="N195" s="4">
        <v>30</v>
      </c>
      <c r="O195" s="4">
        <v>1</v>
      </c>
    </row>
    <row r="196" spans="1:15" ht="15.75" x14ac:dyDescent="0.2">
      <c r="A196"/>
      <c r="C196" s="4">
        <f t="shared" si="42"/>
        <v>110.93</v>
      </c>
      <c r="D196" s="4">
        <v>80</v>
      </c>
      <c r="E196" s="6">
        <v>0.15</v>
      </c>
      <c r="F196" s="6">
        <v>0.1</v>
      </c>
      <c r="G196" s="5">
        <f t="shared" si="43"/>
        <v>229</v>
      </c>
      <c r="H196" s="4">
        <f t="shared" si="44"/>
        <v>13.672000000000001</v>
      </c>
      <c r="I196">
        <f t="shared" si="45"/>
        <v>10</v>
      </c>
      <c r="J196" s="4">
        <f t="shared" si="46"/>
        <v>2.16</v>
      </c>
      <c r="K196" s="4">
        <f t="shared" si="47"/>
        <v>1.5120000000000002</v>
      </c>
      <c r="N196" s="4">
        <v>30</v>
      </c>
      <c r="O196" s="4">
        <v>1</v>
      </c>
    </row>
    <row r="197" spans="1:15" ht="15.75" x14ac:dyDescent="0.2">
      <c r="C197" s="4">
        <f t="shared" si="42"/>
        <v>110.93</v>
      </c>
      <c r="D197" s="4">
        <v>80</v>
      </c>
      <c r="E197" s="6">
        <v>0.15</v>
      </c>
      <c r="F197" s="6">
        <v>0.1</v>
      </c>
      <c r="G197" s="5">
        <f t="shared" si="43"/>
        <v>229</v>
      </c>
      <c r="H197" s="4">
        <f t="shared" si="44"/>
        <v>13.672000000000001</v>
      </c>
      <c r="I197">
        <f t="shared" si="45"/>
        <v>10</v>
      </c>
      <c r="J197" s="4">
        <f t="shared" si="46"/>
        <v>2.16</v>
      </c>
      <c r="K197" s="4">
        <f t="shared" si="47"/>
        <v>1.5120000000000002</v>
      </c>
      <c r="N197" s="4">
        <v>30</v>
      </c>
      <c r="O197" s="4">
        <v>1</v>
      </c>
    </row>
    <row r="206" spans="1:15" x14ac:dyDescent="0.2">
      <c r="A206" s="15"/>
    </row>
    <row r="307" spans="1:1" x14ac:dyDescent="0.2">
      <c r="A307"/>
    </row>
    <row r="308" spans="1:1" x14ac:dyDescent="0.2">
      <c r="A308"/>
    </row>
    <row r="309" spans="1:1" x14ac:dyDescent="0.2">
      <c r="A309"/>
    </row>
    <row r="310" spans="1:1" x14ac:dyDescent="0.2">
      <c r="A310"/>
    </row>
    <row r="311" spans="1:1" x14ac:dyDescent="0.2">
      <c r="A311"/>
    </row>
    <row r="312" spans="1:1" x14ac:dyDescent="0.2">
      <c r="A312"/>
    </row>
    <row r="313" spans="1:1" x14ac:dyDescent="0.2">
      <c r="A313"/>
    </row>
    <row r="314" spans="1:1" x14ac:dyDescent="0.2">
      <c r="A314"/>
    </row>
    <row r="315" spans="1:1" x14ac:dyDescent="0.2">
      <c r="A315"/>
    </row>
    <row r="316" spans="1:1" x14ac:dyDescent="0.2">
      <c r="A316"/>
    </row>
    <row r="317" spans="1:1" x14ac:dyDescent="0.2">
      <c r="A317"/>
    </row>
    <row r="318" spans="1:1" x14ac:dyDescent="0.2">
      <c r="A318"/>
    </row>
    <row r="319" spans="1:1" x14ac:dyDescent="0.2">
      <c r="A319"/>
    </row>
    <row r="320" spans="1:1" x14ac:dyDescent="0.2">
      <c r="A320"/>
    </row>
    <row r="321" spans="1:1" x14ac:dyDescent="0.2">
      <c r="A321"/>
    </row>
    <row r="322" spans="1:1" x14ac:dyDescent="0.2">
      <c r="A322"/>
    </row>
    <row r="323" spans="1:1" x14ac:dyDescent="0.2">
      <c r="A323"/>
    </row>
    <row r="324" spans="1:1" x14ac:dyDescent="0.2">
      <c r="A324"/>
    </row>
    <row r="325" spans="1:1" x14ac:dyDescent="0.2">
      <c r="A325"/>
    </row>
    <row r="326" spans="1:1" x14ac:dyDescent="0.2">
      <c r="A326"/>
    </row>
    <row r="327" spans="1:1" x14ac:dyDescent="0.2">
      <c r="A327"/>
    </row>
    <row r="328" spans="1:1" x14ac:dyDescent="0.2">
      <c r="A328"/>
    </row>
    <row r="329" spans="1:1" x14ac:dyDescent="0.2">
      <c r="A329"/>
    </row>
    <row r="330" spans="1:1" x14ac:dyDescent="0.2">
      <c r="A330"/>
    </row>
    <row r="331" spans="1:1" x14ac:dyDescent="0.2">
      <c r="A331"/>
    </row>
    <row r="332" spans="1:1" x14ac:dyDescent="0.2">
      <c r="A332"/>
    </row>
    <row r="333" spans="1:1" x14ac:dyDescent="0.2">
      <c r="A333"/>
    </row>
    <row r="334" spans="1:1" x14ac:dyDescent="0.2">
      <c r="A334"/>
    </row>
    <row r="335" spans="1:1" x14ac:dyDescent="0.2">
      <c r="A335"/>
    </row>
    <row r="336" spans="1:1" x14ac:dyDescent="0.2">
      <c r="A336"/>
    </row>
    <row r="337" spans="1:1" x14ac:dyDescent="0.2">
      <c r="A337"/>
    </row>
    <row r="338" spans="1:1" x14ac:dyDescent="0.2">
      <c r="A338"/>
    </row>
    <row r="339" spans="1:1" x14ac:dyDescent="0.2">
      <c r="A339"/>
    </row>
    <row r="340" spans="1:1" x14ac:dyDescent="0.2">
      <c r="A340"/>
    </row>
    <row r="341" spans="1:1" x14ac:dyDescent="0.2">
      <c r="A341"/>
    </row>
    <row r="342" spans="1:1" x14ac:dyDescent="0.2">
      <c r="A342"/>
    </row>
    <row r="343" spans="1:1" x14ac:dyDescent="0.2">
      <c r="A343"/>
    </row>
    <row r="344" spans="1:1" x14ac:dyDescent="0.2">
      <c r="A344"/>
    </row>
    <row r="345" spans="1:1" x14ac:dyDescent="0.2">
      <c r="A345"/>
    </row>
    <row r="346" spans="1:1" x14ac:dyDescent="0.2">
      <c r="A346"/>
    </row>
    <row r="347" spans="1:1" x14ac:dyDescent="0.2">
      <c r="A347"/>
    </row>
    <row r="348" spans="1:1" x14ac:dyDescent="0.2">
      <c r="A348"/>
    </row>
    <row r="349" spans="1:1" x14ac:dyDescent="0.2">
      <c r="A349"/>
    </row>
    <row r="350" spans="1:1" x14ac:dyDescent="0.2">
      <c r="A350"/>
    </row>
    <row r="351" spans="1:1" x14ac:dyDescent="0.2">
      <c r="A351"/>
    </row>
    <row r="352" spans="1:1" x14ac:dyDescent="0.2">
      <c r="A352"/>
    </row>
    <row r="353" spans="1:1" x14ac:dyDescent="0.2">
      <c r="A353"/>
    </row>
    <row r="354" spans="1:1" x14ac:dyDescent="0.2">
      <c r="A354"/>
    </row>
    <row r="355" spans="1:1" x14ac:dyDescent="0.2">
      <c r="A355"/>
    </row>
    <row r="356" spans="1:1" x14ac:dyDescent="0.2">
      <c r="A356"/>
    </row>
    <row r="357" spans="1:1" x14ac:dyDescent="0.2">
      <c r="A357"/>
    </row>
    <row r="358" spans="1:1" x14ac:dyDescent="0.2">
      <c r="A358"/>
    </row>
    <row r="359" spans="1:1" x14ac:dyDescent="0.2">
      <c r="A359"/>
    </row>
    <row r="360" spans="1:1" x14ac:dyDescent="0.2">
      <c r="A360"/>
    </row>
    <row r="361" spans="1:1" x14ac:dyDescent="0.2">
      <c r="A361"/>
    </row>
    <row r="362" spans="1:1" x14ac:dyDescent="0.2">
      <c r="A362"/>
    </row>
    <row r="363" spans="1:1" x14ac:dyDescent="0.2">
      <c r="A363"/>
    </row>
    <row r="364" spans="1:1" x14ac:dyDescent="0.2">
      <c r="A364"/>
    </row>
    <row r="365" spans="1:1" x14ac:dyDescent="0.2">
      <c r="A365"/>
    </row>
    <row r="366" spans="1:1" x14ac:dyDescent="0.2">
      <c r="A366"/>
    </row>
    <row r="367" spans="1:1" x14ac:dyDescent="0.2">
      <c r="A367"/>
    </row>
    <row r="368" spans="1:1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</sheetData>
  <phoneticPr fontId="1" type="noConversion"/>
  <conditionalFormatting sqref="A1:A1048576">
    <cfRule type="duplicateValues" dxfId="4" priority="1"/>
  </conditionalFormatting>
  <conditionalFormatting sqref="A203:A394">
    <cfRule type="duplicateValues" dxfId="3" priority="2"/>
    <cfRule type="duplicateValues" dxfId="2" priority="3"/>
  </conditionalFormatting>
  <conditionalFormatting sqref="A395:A1048576 A1:A202">
    <cfRule type="duplicateValues" dxfId="1" priority="4"/>
  </conditionalFormatting>
  <conditionalFormatting sqref="A395:A1048576 A2:A202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康豪 廖</cp:lastModifiedBy>
  <dcterms:created xsi:type="dcterms:W3CDTF">2015-06-05T18:19:34Z</dcterms:created>
  <dcterms:modified xsi:type="dcterms:W3CDTF">2026-05-13T23:26:29Z</dcterms:modified>
</cp:coreProperties>
</file>